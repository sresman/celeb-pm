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tevenresman/Projects/celeb-pm/analysis/"/>
    </mc:Choice>
  </mc:AlternateContent>
  <xr:revisionPtr revIDLastSave="0" documentId="13_ncr:1_{326747D8-6756-3A4B-AFB6-15603233E0AA}" xr6:coauthVersionLast="47" xr6:coauthVersionMax="47" xr10:uidLastSave="{00000000-0000-0000-0000-000000000000}"/>
  <bookViews>
    <workbookView xWindow="1380" yWindow="880" windowWidth="39560" windowHeight="22700" xr2:uid="{0ED2497C-7DFF-7E46-85BB-643A75BE3F49}"/>
  </bookViews>
  <sheets>
    <sheet name="step4_signal_events_v5_final" sheetId="1" r:id="rId1"/>
  </sheets>
  <definedNames>
    <definedName name="_xlnm._FilterDatabase" localSheetId="0" hidden="1">step4_signal_events_v5_final!$A$1:$AC$126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23" i="1" l="1"/>
  <c r="AA126" i="1"/>
  <c r="AA125" i="1"/>
  <c r="AA124" i="1"/>
  <c r="AA122" i="1"/>
  <c r="AA121"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5" i="1"/>
  <c r="AA4" i="1"/>
  <c r="AA3" i="1"/>
  <c r="AA2" i="1"/>
  <c r="AF2" i="1" a="1"/>
  <c r="AF2" i="1" s="1"/>
  <c r="AK2" i="1" s="1"/>
  <c r="AF16" i="1" l="1" a="1"/>
  <c r="AF16" i="1" s="1"/>
  <c r="AP8" i="1"/>
  <c r="AT2" i="1"/>
  <c r="AJ4" i="1"/>
  <c r="AT5" i="1"/>
  <c r="AG3" i="1"/>
  <c r="AK3" i="1"/>
  <c r="AH6" i="1"/>
  <c r="AQ7" i="1"/>
  <c r="AM2" i="1"/>
  <c r="AK4" i="1"/>
  <c r="AJ5" i="1"/>
  <c r="AH7" i="1"/>
  <c r="AQ8" i="1"/>
  <c r="AN2" i="1"/>
  <c r="AL4" i="1"/>
  <c r="AJ6" i="1"/>
  <c r="AR8" i="1"/>
  <c r="AO2" i="1"/>
  <c r="AN3" i="1"/>
  <c r="AL5" i="1"/>
  <c r="AJ7" i="1"/>
  <c r="AG7" i="1"/>
  <c r="AO3" i="1"/>
  <c r="AN4" i="1"/>
  <c r="AL6" i="1"/>
  <c r="AK7" i="1"/>
  <c r="AJ8" i="1"/>
  <c r="AG8" i="1"/>
  <c r="AP3" i="1"/>
  <c r="AN5" i="1"/>
  <c r="AT4" i="1"/>
  <c r="AR2" i="1"/>
  <c r="AQ3" i="1"/>
  <c r="AO5" i="1"/>
  <c r="AN6" i="1"/>
  <c r="AL8" i="1"/>
  <c r="AI2" i="1"/>
  <c r="AH3" i="1"/>
  <c r="AR3" i="1"/>
  <c r="AQ4" i="1"/>
  <c r="AP5" i="1"/>
  <c r="AO6" i="1"/>
  <c r="AN7" i="1"/>
  <c r="AM8" i="1"/>
  <c r="AT6" i="1"/>
  <c r="AL2" i="1"/>
  <c r="AI5" i="1"/>
  <c r="AR6" i="1"/>
  <c r="AG4" i="1"/>
  <c r="AL3" i="1"/>
  <c r="AI6" i="1"/>
  <c r="AR7" i="1"/>
  <c r="AG5" i="1"/>
  <c r="AM3" i="1"/>
  <c r="AK5" i="1"/>
  <c r="AI7" i="1"/>
  <c r="AH8" i="1"/>
  <c r="AG6" i="1"/>
  <c r="AM4" i="1"/>
  <c r="AK6" i="1"/>
  <c r="AI8" i="1"/>
  <c r="AP2" i="1"/>
  <c r="AM5" i="1"/>
  <c r="AT3" i="1"/>
  <c r="AQ2" i="1"/>
  <c r="AO4" i="1"/>
  <c r="AM6" i="1"/>
  <c r="AL7" i="1"/>
  <c r="AK8" i="1"/>
  <c r="AH2" i="1"/>
  <c r="AP4" i="1"/>
  <c r="AM7" i="1"/>
  <c r="AT7" i="1"/>
  <c r="AJ2" i="1"/>
  <c r="AI3" i="1"/>
  <c r="AH4" i="1"/>
  <c r="AR4" i="1"/>
  <c r="AQ5" i="1"/>
  <c r="AP6" i="1"/>
  <c r="AO7" i="1"/>
  <c r="AN8" i="1"/>
  <c r="AG2" i="1"/>
  <c r="AJ3" i="1"/>
  <c r="AI4" i="1"/>
  <c r="AH5" i="1"/>
  <c r="AR5" i="1"/>
  <c r="AQ6" i="1"/>
  <c r="AP7" i="1"/>
  <c r="AO8" i="1"/>
  <c r="AT8" i="1"/>
  <c r="AN36" i="1" l="1"/>
  <c r="AJ24" i="1"/>
  <c r="AQ21" i="1"/>
  <c r="AQ20" i="1"/>
  <c r="AL44" i="1"/>
  <c r="AI36" i="1"/>
  <c r="AM30" i="1"/>
  <c r="AN29" i="1"/>
  <c r="AL26" i="1"/>
  <c r="AI18" i="1"/>
  <c r="AL42" i="1"/>
  <c r="AR25" i="1"/>
  <c r="AO22" i="1"/>
  <c r="AL19" i="1"/>
  <c r="AT29" i="1"/>
  <c r="AG37" i="1"/>
  <c r="AK36" i="1"/>
  <c r="AJ31" i="1"/>
  <c r="AJ27" i="1"/>
  <c r="AG24" i="1"/>
  <c r="AH19" i="1"/>
  <c r="AI30" i="1"/>
  <c r="AQ17" i="1"/>
  <c r="AM44" i="1"/>
  <c r="AR37" i="1"/>
  <c r="AP34" i="1"/>
  <c r="AM26" i="1"/>
  <c r="AR19" i="1"/>
  <c r="AI34" i="1"/>
  <c r="AJ34" i="1"/>
  <c r="AG31" i="1"/>
  <c r="AP27" i="1"/>
  <c r="AM19" i="1"/>
  <c r="AT20" i="1"/>
  <c r="AO44" i="1"/>
  <c r="AN39" i="1"/>
  <c r="AN35" i="1"/>
  <c r="AK32" i="1"/>
  <c r="AH44" i="1"/>
  <c r="AM28" i="1"/>
  <c r="AT39" i="1"/>
  <c r="AG38" i="1"/>
  <c r="AH33" i="1"/>
  <c r="AP25" i="1"/>
  <c r="AI39" i="1"/>
  <c r="AH35" i="1"/>
  <c r="AQ36" i="1"/>
  <c r="AL29" i="1"/>
  <c r="AK20" i="1"/>
  <c r="AO19" i="1"/>
  <c r="AT32" i="1"/>
  <c r="AL40" i="1"/>
  <c r="AL41" i="1"/>
  <c r="AG34" i="1"/>
  <c r="AL17" i="1"/>
  <c r="AP26" i="1"/>
  <c r="AH21" i="1"/>
  <c r="AQ42" i="1"/>
  <c r="AO25" i="1"/>
  <c r="AR21" i="1"/>
  <c r="AL27" i="1"/>
  <c r="AG40" i="1"/>
  <c r="AR40" i="1"/>
  <c r="AM38" i="1"/>
  <c r="AJ30" i="1"/>
  <c r="AI26" i="1"/>
  <c r="AK21" i="1"/>
  <c r="AT42" i="1"/>
  <c r="AT31" i="1"/>
  <c r="AH43" i="1"/>
  <c r="AQ34" i="1"/>
  <c r="AQ38" i="1"/>
  <c r="AJ28" i="1"/>
  <c r="AT36" i="1"/>
  <c r="AN42" i="1"/>
  <c r="AK39" i="1"/>
  <c r="AH36" i="1"/>
  <c r="AQ27" i="1"/>
  <c r="AI22" i="1"/>
  <c r="AJ21" i="1"/>
  <c r="AH18" i="1"/>
  <c r="AR43" i="1"/>
  <c r="AO40" i="1"/>
  <c r="AR44" i="1"/>
  <c r="AH34" i="1"/>
  <c r="AN17" i="1"/>
  <c r="AL43" i="1"/>
  <c r="AT18" i="1"/>
  <c r="AP37" i="1"/>
  <c r="AO28" i="1"/>
  <c r="AG28" i="1"/>
  <c r="AR22" i="1"/>
  <c r="AR18" i="1"/>
  <c r="AK28" i="1"/>
  <c r="AK42" i="1"/>
  <c r="AH32" i="1"/>
  <c r="AN32" i="1"/>
  <c r="AP35" i="1"/>
  <c r="AL18" i="1"/>
  <c r="AI20" i="1"/>
  <c r="AT38" i="1"/>
  <c r="AN38" i="1"/>
  <c r="AM34" i="1"/>
  <c r="AO29" i="1"/>
  <c r="AP23" i="1"/>
  <c r="AP24" i="1"/>
  <c r="AK17" i="1"/>
  <c r="AI43" i="1"/>
  <c r="AJ18" i="1"/>
  <c r="AN26" i="1"/>
  <c r="AR34" i="1"/>
  <c r="AJ43" i="1"/>
  <c r="AG35" i="1"/>
  <c r="AT37" i="1"/>
  <c r="AH25" i="1"/>
  <c r="AL33" i="1"/>
  <c r="AP41" i="1"/>
  <c r="AG21" i="1"/>
  <c r="AK29" i="1"/>
  <c r="AO37" i="1"/>
  <c r="AT28" i="1"/>
  <c r="AJ20" i="1"/>
  <c r="AN28" i="1"/>
  <c r="AR36" i="1"/>
  <c r="AT19" i="1"/>
  <c r="AO18" i="1"/>
  <c r="AG27" i="1"/>
  <c r="AK35" i="1"/>
  <c r="AO43" i="1"/>
  <c r="AM20" i="1"/>
  <c r="AQ28" i="1"/>
  <c r="AI37" i="1"/>
  <c r="AT22" i="1"/>
  <c r="AH22" i="1"/>
  <c r="AL30" i="1"/>
  <c r="AP38" i="1"/>
  <c r="AJ17" i="1"/>
  <c r="AN25" i="1"/>
  <c r="AR33" i="1"/>
  <c r="AJ42" i="1"/>
  <c r="AM37" i="1"/>
  <c r="AQ24" i="1"/>
  <c r="AI33" i="1"/>
  <c r="AM41" i="1"/>
  <c r="AP20" i="1"/>
  <c r="AH29" i="1"/>
  <c r="AL37" i="1"/>
  <c r="AT25" i="1"/>
  <c r="AQ40" i="1"/>
  <c r="AJ19" i="1"/>
  <c r="AN27" i="1"/>
  <c r="AR35" i="1"/>
  <c r="AJ44" i="1"/>
  <c r="AM23" i="1"/>
  <c r="AQ31" i="1"/>
  <c r="AI40" i="1"/>
  <c r="AK23" i="1"/>
  <c r="AP22" i="1"/>
  <c r="AH31" i="1"/>
  <c r="AL39" i="1"/>
  <c r="AK18" i="1"/>
  <c r="AI21" i="1"/>
  <c r="AM29" i="1"/>
  <c r="AQ37" i="1"/>
  <c r="AT30" i="1"/>
  <c r="AG23" i="1"/>
  <c r="AK31" i="1"/>
  <c r="AO39" i="1"/>
  <c r="AK33" i="1"/>
  <c r="AN24" i="1"/>
  <c r="AR32" i="1"/>
  <c r="AJ41" i="1"/>
  <c r="AP19" i="1"/>
  <c r="AH28" i="1"/>
  <c r="AL36" i="1"/>
  <c r="AP44" i="1"/>
  <c r="AG19" i="1"/>
  <c r="AK27" i="1"/>
  <c r="AO35" i="1"/>
  <c r="AG44" i="1"/>
  <c r="AG20" i="1"/>
  <c r="AN21" i="1"/>
  <c r="AR29" i="1"/>
  <c r="AJ38" i="1"/>
  <c r="AT35" i="1"/>
  <c r="AO41" i="1"/>
  <c r="AH20" i="1"/>
  <c r="AL28" i="1"/>
  <c r="AP36" i="1"/>
  <c r="AT17" i="1"/>
  <c r="AK24" i="1"/>
  <c r="AO32" i="1"/>
  <c r="AG41" i="1"/>
  <c r="AO26" i="1"/>
  <c r="AN23" i="1"/>
  <c r="AR31" i="1"/>
  <c r="AJ40" i="1"/>
  <c r="AO21" i="1"/>
  <c r="AG22" i="1"/>
  <c r="AK30" i="1"/>
  <c r="AO38" i="1"/>
  <c r="AT40" i="1"/>
  <c r="AQ23" i="1"/>
  <c r="AI32" i="1"/>
  <c r="AM40" i="1"/>
  <c r="AH17" i="1"/>
  <c r="AL25" i="1"/>
  <c r="AP33" i="1"/>
  <c r="AH42" i="1"/>
  <c r="AN20" i="1"/>
  <c r="AR28" i="1"/>
  <c r="AJ37" i="1"/>
  <c r="AT23" i="1"/>
  <c r="AQ19" i="1"/>
  <c r="AI28" i="1"/>
  <c r="AM36" i="1"/>
  <c r="AQ44" i="1"/>
  <c r="AM22" i="1"/>
  <c r="AL22" i="1"/>
  <c r="AP30" i="1"/>
  <c r="AH39" i="1"/>
  <c r="AM17" i="1"/>
  <c r="AM42" i="1"/>
  <c r="AR20" i="1"/>
  <c r="AJ29" i="1"/>
  <c r="AN37" i="1"/>
  <c r="AT27" i="1"/>
  <c r="AI25" i="1"/>
  <c r="AM33" i="1"/>
  <c r="AQ41" i="1"/>
  <c r="AG30" i="1"/>
  <c r="AL24" i="1"/>
  <c r="AP32" i="1"/>
  <c r="AH41" i="1"/>
  <c r="AG25" i="1"/>
  <c r="AQ22" i="1"/>
  <c r="AI31" i="1"/>
  <c r="AM39" i="1"/>
  <c r="AT41" i="1"/>
  <c r="AO24" i="1"/>
  <c r="AG33" i="1"/>
  <c r="AK41" i="1"/>
  <c r="AR17" i="1"/>
  <c r="AJ26" i="1"/>
  <c r="AN34" i="1"/>
  <c r="AR42" i="1"/>
  <c r="AL21" i="1"/>
  <c r="AP29" i="1"/>
  <c r="AH38" i="1"/>
  <c r="AT33" i="1"/>
  <c r="AO20" i="1"/>
  <c r="AG29" i="1"/>
  <c r="AK37" i="1"/>
  <c r="AT24" i="1"/>
  <c r="AQ25" i="1"/>
  <c r="AJ23" i="1"/>
  <c r="AN31" i="1"/>
  <c r="AR39" i="1"/>
  <c r="AM27" i="1"/>
  <c r="AK43" i="1"/>
  <c r="AP21" i="1"/>
  <c r="AH30" i="1"/>
  <c r="AL38" i="1"/>
  <c r="AO17" i="1"/>
  <c r="AG26" i="1"/>
  <c r="AK34" i="1"/>
  <c r="AO42" i="1"/>
  <c r="AO36" i="1"/>
  <c r="AJ25" i="1"/>
  <c r="AN33" i="1"/>
  <c r="AR41" i="1"/>
  <c r="AI29" i="1"/>
  <c r="AO23" i="1"/>
  <c r="AG32" i="1"/>
  <c r="AK40" i="1"/>
  <c r="AI17" i="1"/>
  <c r="AM25" i="1"/>
  <c r="AQ33" i="1"/>
  <c r="AI42" i="1"/>
  <c r="AP18" i="1"/>
  <c r="AH27" i="1"/>
  <c r="AL35" i="1"/>
  <c r="AP43" i="1"/>
  <c r="AJ22" i="1"/>
  <c r="AN30" i="1"/>
  <c r="AR38" i="1"/>
  <c r="AT43" i="1"/>
  <c r="AM21" i="1"/>
  <c r="AQ29" i="1"/>
  <c r="AI38" i="1"/>
  <c r="AT34" i="1"/>
  <c r="AQ30" i="1"/>
  <c r="AH24" i="1"/>
  <c r="AL32" i="1"/>
  <c r="AP40" i="1"/>
  <c r="AO31" i="1"/>
  <c r="AI44" i="1"/>
  <c r="AN22" i="1"/>
  <c r="AR30" i="1"/>
  <c r="AJ39" i="1"/>
  <c r="AM18" i="1"/>
  <c r="AQ26" i="1"/>
  <c r="AI35" i="1"/>
  <c r="AM43" i="1"/>
  <c r="AP17" i="1"/>
  <c r="AH26" i="1"/>
  <c r="AL34" i="1"/>
  <c r="AP42" i="1"/>
  <c r="AK38" i="1"/>
  <c r="AM24" i="1"/>
  <c r="AQ32" i="1"/>
  <c r="AI41" i="1"/>
  <c r="AG18" i="1"/>
  <c r="AK26" i="1"/>
  <c r="AO34" i="1"/>
  <c r="AG43" i="1"/>
  <c r="AN19" i="1"/>
  <c r="AR27" i="1"/>
  <c r="AJ36" i="1"/>
  <c r="AN44" i="1"/>
  <c r="AH23" i="1"/>
  <c r="AL31" i="1"/>
  <c r="AP39" i="1"/>
  <c r="AI19" i="1"/>
  <c r="AK22" i="1"/>
  <c r="AO30" i="1"/>
  <c r="AG39" i="1"/>
  <c r="AT44" i="1"/>
  <c r="AQ35" i="1"/>
  <c r="AR24" i="1"/>
  <c r="AJ33" i="1"/>
  <c r="AN41" i="1"/>
  <c r="AM32" i="1"/>
  <c r="AT26" i="1"/>
  <c r="AL23" i="1"/>
  <c r="AP31" i="1"/>
  <c r="AH40" i="1"/>
  <c r="AK19" i="1"/>
  <c r="AO27" i="1"/>
  <c r="AG36" i="1"/>
  <c r="AK44" i="1"/>
  <c r="AN18" i="1"/>
  <c r="AR26" i="1"/>
  <c r="AJ35" i="1"/>
  <c r="AN43" i="1"/>
  <c r="AG17" i="1"/>
  <c r="AK25" i="1"/>
  <c r="AO33" i="1"/>
  <c r="AG42" i="1"/>
  <c r="AQ18" i="1"/>
  <c r="AI27" i="1"/>
  <c r="AM35" i="1"/>
  <c r="AQ43" i="1"/>
  <c r="AL20" i="1"/>
  <c r="AP28" i="1"/>
  <c r="AH37" i="1"/>
  <c r="AT21" i="1"/>
  <c r="AR23" i="1"/>
  <c r="AJ32" i="1"/>
  <c r="AN40" i="1"/>
  <c r="AI24" i="1"/>
  <c r="AI23" i="1"/>
  <c r="AM31" i="1"/>
  <c r="AQ39" i="1"/>
  <c r="AM16" i="1"/>
  <c r="AL16" i="1"/>
  <c r="AJ16" i="1"/>
  <c r="AK16" i="1"/>
  <c r="AI16" i="1"/>
  <c r="AR16" i="1"/>
  <c r="AH16" i="1"/>
  <c r="AO16" i="1"/>
  <c r="AQ16" i="1"/>
  <c r="AG16" i="1"/>
  <c r="AP16" i="1"/>
  <c r="AT16" i="1"/>
  <c r="AN1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<sst xmlns="http://schemas.openxmlformats.org/spreadsheetml/2006/main" count="1848" uniqueCount="361">
  <si>
    <t>date</t>
  </si>
  <si>
    <t>theme</t>
  </si>
  <si>
    <t>event_type</t>
  </si>
  <si>
    <t>confidence</t>
  </si>
  <si>
    <t>mention_number</t>
  </si>
  <si>
    <t>total_theme_mentions</t>
  </si>
  <si>
    <t>source</t>
  </si>
  <si>
    <t>summary</t>
  </si>
  <si>
    <t>summary_extended</t>
  </si>
  <si>
    <t>tickers_direct</t>
  </si>
  <si>
    <t>resolved_basket</t>
  </si>
  <si>
    <t>basket_source</t>
  </si>
  <si>
    <t>basket_direction</t>
  </si>
  <si>
    <t>basket_asterisk</t>
  </si>
  <si>
    <t>ret_1m</t>
  </si>
  <si>
    <t>ret_1q</t>
  </si>
  <si>
    <t>ret_1y</t>
  </si>
  <si>
    <t>ret_2y</t>
  </si>
  <si>
    <t>smh_1m</t>
  </si>
  <si>
    <t>smh_1q</t>
  </si>
  <si>
    <t>smh_1y</t>
  </si>
  <si>
    <t>smh_2y</t>
  </si>
  <si>
    <t>excess_1m</t>
  </si>
  <si>
    <t>excess_1q</t>
  </si>
  <si>
    <t>excess_1y</t>
  </si>
  <si>
    <t>excess_2y</t>
  </si>
  <si>
    <t>Metaverse / gaming as platform</t>
  </si>
  <si>
    <t>FIRST_MENTION_AND_HC</t>
  </si>
  <si>
    <t>high_conviction</t>
  </si>
  <si>
    <t>Columbia SIMA ‚Äî COVID-19 market impact, technology investing, video games, venture capital</t>
  </si>
  <si>
    <t>Video games are social networks and will be the foundational platform layer for the personal Metaverse</t>
  </si>
  <si>
    <t>Baker argues that video games are fundamentally social networks ‚Äî not merely entertainment ‚Äî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</si>
  <si>
    <t>ATVI, EA, TTWO, EPIC</t>
  </si>
  <si>
    <t>RBLX, EA, TTWO</t>
  </si>
  <si>
    <t>CONSTRUCTED</t>
  </si>
  <si>
    <t>LONG</t>
  </si>
  <si>
    <t>FIRST_MENTION_WITH_TICKERS</t>
  </si>
  <si>
    <t>Power / watts as binding constraint</t>
  </si>
  <si>
    <t>FIRST_MENTION</t>
  </si>
  <si>
    <t>moderate</t>
  </si>
  <si>
    <t>Edge computing will proliferate into retail stores and restaurants, driven by AI-powered in-store experiences requiring local compute that cannot be served from the cloud due to latency constraints</t>
  </si>
  <si>
    <t>Baker argues that Amazon Go-style frictionless retail stores ‚Äî featuring facial recognition, personalized advertising, and automated checkout ‚Äî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</si>
  <si>
    <t>AMZN, NVDA</t>
  </si>
  <si>
    <t>NO_BASKET</t>
  </si>
  <si>
    <t>ASML / semcap equipment criticality</t>
  </si>
  <si>
    <t>Koyfin Investing Wizards ‚Äî AI tailwind for semiconductors</t>
  </si>
  <si>
    <t>ASML is the single most critical company in the semiconductor supply chain; continued EUV progress is essential to sustaining Moore's Law and all downstream AI compute scaling</t>
  </si>
  <si>
    <t>Baker argues that ASML is the single most important company on the planet because its EUV lithography technology is the irreplaceable enabler of continued Moore's Law scaling ‚Äî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</si>
  <si>
    <t>ASML</t>
  </si>
  <si>
    <t>BAKER_NAMED</t>
  </si>
  <si>
    <t>Broad AI bullish / early innings</t>
  </si>
  <si>
    <t>AI has dramatically higher semiconductor intensity than human-written software, driving a multi-decade structural demand uplift for the entire semiconductor industry</t>
  </si>
  <si>
    <t>Baker argues that AI software has dramatically higher semiconductor intensity than human-written software ‚Äî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‚Äî logic, memory, networking, capital equipment ‚Äî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</si>
  <si>
    <t>SMH</t>
  </si>
  <si>
    <t>OBVIOUS_UNIVERSE</t>
  </si>
  <si>
    <t>The semiconductor industry is entering a positive demand supercycle from AI intensity, following two prior negative demand shocks (smartphone replacing PC; cloud/virtualization increasing utilization), in a now highly consolidated market structure</t>
  </si>
  <si>
    <t>Baker argues that the semiconductor industry is entering a structural, multi-decade positive demand supercycle driven by AI intensity, and that this cycle is uniquely powerful because it arrives into a market that has already absorbed two prior negative demand shocks. The first shock was smartphones displacing PCs, which reduced semiconductor dollar content per device; the second was cloud computing and virtualization, which increased utilization of existing infrastructure and suppressed incremental demand. Now that both headwinds have been fully absorbed, the AI-driven demand surge is hitting markets ‚Äî spanning memory, CPUs, GPUs, FPGAs, networking, and equipment ‚Äî that have consolidated into near-duopoly or monopoly structures with very high barriers to entry, meaning pricing power and margin expansion should accompany volume growth. Baker frames this as his single most exciting investment theme, implying broad long exposure across the consolidated semiconductor ecosystem rather than any single name.</t>
  </si>
  <si>
    <t>XLNX</t>
  </si>
  <si>
    <t>DRAM / HBM memory bottleneck</t>
  </si>
  <si>
    <t>MU</t>
  </si>
  <si>
    <t>Intel recovery / foundry failure</t>
  </si>
  <si>
    <t>Intel faces a structural competitive crisis having lost its 50-year manufacturing lead due to the EUV bet and process execution failures; recovery depends on 10nm server CPU execution in late 2020</t>
  </si>
  <si>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‚Äî a massive embedded competitive moat ‚Äî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‚Äî 'empires are hard won and easily lost' ‚Äî to underscore that Intel's structural disadvantage may not be recoverable on a short timeline.</t>
  </si>
  <si>
    <t>INTC, AMD, TSM</t>
  </si>
  <si>
    <t>INTC</t>
  </si>
  <si>
    <t>SHORT</t>
  </si>
  <si>
    <t>THESIS_REVERSAL</t>
  </si>
  <si>
    <t>Nvidia GPU moat / CUDA ecosystem</t>
  </si>
  <si>
    <t>Nvidia holds a durable leadership position in AI training GPUs, protected by CUDA software ecosystem and the historical pattern of digital processor market incumbents never being unseated</t>
  </si>
  <si>
    <t>Baker argues that Nvidia holds a structurally durable leadership position in AI training GPUs, grounded in a historical observation that incumbents in digital processor markets have never been displaced ‚Äî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</si>
  <si>
    <t>NVDA</t>
  </si>
  <si>
    <t>Target / omnichannel retail</t>
  </si>
  <si>
    <t>Sohn Australia 2020 ‚Äî Omnichannel / tech</t>
  </si>
  <si>
    <t>Target is among the fastest-growing e-commerce companies in North America and is materially undervalued by consensus</t>
  </si>
  <si>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‚Äî where physical stores function as fulfillment hubs ‚Äî as a durable competitive advantage. The investment implication is a long position in TGT with a medium-term horizon, predicated on earnings estimates being revised significantly higher as the e-commerce flywheel compounds.</t>
  </si>
  <si>
    <t>TGT</t>
  </si>
  <si>
    <t>HC_HIGH_PROFILE_VENUE</t>
  </si>
  <si>
    <t>DISH / 5G bearish</t>
  </si>
  <si>
    <t>Graham &amp; Doddsville (Columbia Business School) ‚Äî Investor interview with Gavin Baker, CIO of Atreides Management (Issue 43, Fall 2021)</t>
  </si>
  <si>
    <t>5G is not a meaningful enabler of new use cases and represents a cost treadmill for incumbents</t>
  </si>
  <si>
    <t>Baker argues that 5G is fundamentally different from prior generational wireless upgrades in that it enables no new 'killer application' ‚Äî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</si>
  <si>
    <t>T, VZ, TMUS</t>
  </si>
  <si>
    <t>SpaceX ecosystem / Starship economics</t>
  </si>
  <si>
    <t>Starlink is a significant disruptor to leveraged telecom and broadband companies globally</t>
  </si>
  <si>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‚Äî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</si>
  <si>
    <t>VSAT, SATS, LUMN</t>
  </si>
  <si>
    <t>AI bubble not happening</t>
  </si>
  <si>
    <t>VS Partners / Financial Times Global Seattle Symposium ‚Äî Global technology investment: hype, hope, reality</t>
  </si>
  <si>
    <t>SaaS companies have fundamentally better business models than dot-com era companies ‚Äî current valuations are not bubble-like</t>
  </si>
  <si>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‚Äî the ability to deliberately modulate spending to shift between growth and profitability ‚Äî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</si>
  <si>
    <t>Crossover investing philosophy</t>
  </si>
  <si>
    <t>Crossover investing (public + private) is the future of tech investing ‚Äî will grow from 3-4% to 50%+ of private unicorn market cap</t>
  </si>
  <si>
    <t>Baker argues that crossover investing ‚Äî where a single firm invests across both private and public technology markets ‚Äî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</si>
  <si>
    <t>SpaceX / Starlink is the only investable space company ‚Äî dramatically lower launch costs will reshape the world</t>
  </si>
  <si>
    <t>Baker argues that SpaceX is so dominant in rocket technology that it represents the only credible investable space company, with no meaningful second option ‚Äî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</si>
  <si>
    <t>SpaceX, Starlink</t>
  </si>
  <si>
    <t>Private market structural shift</t>
  </si>
  <si>
    <t>Scaling laws intact</t>
  </si>
  <si>
    <t>AI-driven scaling laws will dramatically increase semiconductor intensity of the global economy</t>
  </si>
  <si>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‚Äî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</si>
  <si>
    <t>FIRST_HC_NOT_FIRST_MENTION</t>
  </si>
  <si>
    <t>RKLB, SPCE, RDW</t>
  </si>
  <si>
    <t>RETAIL_PROXY</t>
  </si>
  <si>
    <t>Tesla / EV / FSD</t>
  </si>
  <si>
    <t>EV SPACs are worthless ‚Äî no hope of competing against Tesla, Chinese EV leaders, or legacy OEM incumbents</t>
  </si>
  <si>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‚Äî designing a prototype is easy, but achieving production scale is a different problem entirely ‚Äî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</si>
  <si>
    <t>TSLA</t>
  </si>
  <si>
    <t>Inflation macro framework</t>
  </si>
  <si>
    <t>On The Tape / RiskReversal ‚Äî Fear is the market killer</t>
  </si>
  <si>
    <t>Supply chain-driven inflation is largely over; capitalism solves these problems quickly</t>
  </si>
  <si>
    <t>Baker argues that the supply chain component of inflation ‚Äî driven by COVID-era disruptions to goods production and logistics ‚Äî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</si>
  <si>
    <t>MIXED</t>
  </si>
  <si>
    <t>Optical networking / interconnect</t>
  </si>
  <si>
    <t>This Week in Startups ‚Äî AI platform shift, Nvidia outlook, extinction risk</t>
  </si>
  <si>
    <t>Solar and battery storage compounding will solve climate change structurally; fossil fuels will phase out as photovoltaic efficiency compounds ~8%/year and battery efficiency ~6%/year.</t>
  </si>
  <si>
    <t>Baker argues that climate change has already been 'solved' at a technological level, with the remaining challenge being implementation rather than invention. He cites photovoltaic cell efficiency compounding at approximately 8% per year and battery storage efficiency compounding at approximately 6% per year as the structural drivers of this transition, noting that Tesla is likely compounding battery efficiency even faster than the industry average. His framing is philosophical as much as financial ‚Äî he observes that the world already runs on sunlight stored in carbon, and the energy transition is simply a shift to capturing sunlight directly rather than via ancient biological intermediaries. The investment implication is broadly bullish on solar and battery storage as secular compounders, but Baker does not name specific stocks or catalysts beyond a passing reference to Tesla, making this a macro orientation rather than an actionable single-name thesis.</t>
  </si>
  <si>
    <t>SaaS existential disruption</t>
  </si>
  <si>
    <t>Foundation Models as a Service (FMaaS) will replace Software as a Service (SaaS) ‚Äî LLMs will consolidate the software stack the way the iPhone consolidated hardware devices.</t>
  </si>
  <si>
    <t>Baker argues that Foundation Models as a Service (FMaaS) will structurally replace Software as a Service (SaaS), representing a generational platform shift analogous to the iPhone's consolidation of multiple discrete hardware devices. Just as the iPhone eliminated the need for a Blackberry, Nokia phone, digital camera, iPod, and laptop as separate devices, Baker contends that large language models will consolidate discrete software applications into a single conversational interface. His core insight is that human language becomes the new programming language for machines, eliminating the need for Python expertise or data science skills and thereby lowering the barrier to software interaction dramatically. The investment implication is a structural long-term threat to incumbent SaaS companies whose value proposition rests on discrete, purpose-built applications, though Baker does not name specific winners or losers in this segment. This is a macro-structural thesis about industry architecture rather than a call on any specific publicly traded company.</t>
  </si>
  <si>
    <t>CRM, NOW, TEAM, SNOW, HUBS</t>
  </si>
  <si>
    <t>iConnections Global Alts 2024 ‚Äî Markets panel</t>
  </si>
  <si>
    <t>Power and wafer shortages will prevent an AI overbuild, enabling a smoother and longer AI investment cycle</t>
  </si>
  <si>
    <t>Baker argues that the AI investment cycle will be structurally different from prior technology bubbles (railroads, internet) because physical supply constraints ‚Äî specifically shortages of watts (power/energy) and wafers (TSMC capacity) ‚Äî will prevent the overbuild that historically follows speculative manias. Drawing on Carlotta Perez's framework of technology cycles, he contends that these bottlenecks act as a natural governor on capital deployment, smoothing out the boom-bust dynamic that would otherwise follow. The investment implication is that AI infrastructure spending will be more sustained and less volatile than prior cycles, making it structurally bullish for AI infrastructure investors over a long time horizon. Notably, Baker does not name specific beneficiary companies ‚Äî the thesis is a macro-structural view about cycle dynamics rather than a stock-specific call.</t>
  </si>
  <si>
    <t>TSM</t>
  </si>
  <si>
    <t>Anthropic valuation / efficiency</t>
  </si>
  <si>
    <t>Anthropic is ~4x more capital efficient than OpenAI and growing fast with low cash burn</t>
  </si>
  <si>
    <t>Baker argues that Anthropic is roughly four times more capital efficient than OpenAI, growing rapidly while maintaining low cash burn ‚Äî a structural advantage that makes it a compelling private market investment. He supports this claim by noting that Anthropic's models can complete comparable-quality tasks using approximately half the tokens of competitors such as Google, meaning lower compute costs per unit of output. This token efficiency translates into a fundamentally better unit economics profile, allowing Anthropic to scale revenue without proportional capital consumption. The investment implication is that Anthropic represents a superior risk-adjusted bet in the frontier AI model space relative to OpenAI, though the opportunity is confined to private markets as Anthropic is not publicly listed. No specific timeframe was cited, but the framing is medium-term as Anthropic's efficiency advantage compounds with scale.</t>
  </si>
  <si>
    <t>Humanoid robotics / Tesla Optimus</t>
  </si>
  <si>
    <t>Humanoid robots will decisively win over specialized robots; Tesla vs. Chinese competitors is the key battle</t>
  </si>
  <si>
    <t>Baker argues that the debate between humanoid and specialized robots has been decisively settled in favor of humanoid robots, driven by the breakthrough of learning from human video data ‚Äî a development he views as a fundamental inflection point. He frames the competitive landscape as a two-horse race between Tesla and Chinese players, drawing an explicit analogy to the EV market where Tesla initially led but faced intense Chinese competition. Baker believes Tesla holds a meaningful AI advantage in this race, stemming from its vast real-world driving and robotics data, and views US dominance in humanoid robotics as a national security imperative that could attract government support. The investment implication is a long position in Tesla as the primary US-listed pure-play on humanoid robotics, with the caveat that Chinese competitors (not US-listed) represent the key competitive threat to monitor.</t>
  </si>
  <si>
    <t>CIEN, COHR, LITE</t>
  </si>
  <si>
    <t>Orbital / space-based compute</t>
  </si>
  <si>
    <t>Space-based compute (racks in space connected by laser) is a viable and strategically important architecture</t>
  </si>
  <si>
    <t>Baker outlines a specific technical vision for space-based compute in which scaled Starlink V3 satellites (cited at approximately 100kW each, compared to a 130kW Blackwell GPU rack) are connected by laser inter-satellite links to form a distributed orbital data center. He argues that lasers operating in vacuum propagate faster than signals through terrestrial fiber, meaning space-based compute could offer lower latency than any ground-based cloud infrastructure. Baker draws an analogy to the existing 70% pricing premium that cloud providers charge for proximity-based or low-latency compute, suggesting space-based compute could command similar or greater premiums given its unique latency and coverage advantages. He frames this architecture as strategically important for US competitiveness, implying government or defense demand could be a meaningful demand driver alongside commercial cloud. The investment implication is long-term and speculative, centered on SpaceX (private) as the primary enabler, with no clear publicly traded pure-play beneficiary identified.</t>
  </si>
  <si>
    <t>RKLB, LUNR, ASTS, RDW</t>
  </si>
  <si>
    <t>SaaS/software companies face existential risk from AI-enabled vibe coding and autonomous software development</t>
  </si>
  <si>
    <t>Baker argues that AI-enabled 'vibe coding' and autonomous software development tools represent an existential threat to traditional SaaS and pure-play software companies, as non-developers can now build functional software (e.g., a full CRM system) in just 2-3 hours without writing code. He cites HubSpot's stock decline from roughly $850 to the low $200s as early evidence of the market beginning to price in this disruption, and notes he has personally avoided investing in any pure software company for 6-7 years based on this structural view. Baker frames the threat as urgent, suggesting software CEOs have a 2-3 month window to respond before the disruption becomes irreversible. He also identifies a secondary opportunity: AI labs could acquire small-cap software companies cheaply ‚Äî gutting headcount and using them as distribution channels ‚Äî analogous to Larry Ellison's post-dot-com bubble acquisition playbook, suggesting the bear case for software incumbents is compounded by potential acqui-hire dynamics that would not reward equity holders at premium valuations.</t>
  </si>
  <si>
    <t>HUBS</t>
  </si>
  <si>
    <t>xAI competitive position</t>
  </si>
  <si>
    <t>xAI has the lowest cost-per-token due to superior data center construction and GPU utilization</t>
  </si>
  <si>
    <t>Baker argues that xAI (Elon Musk's AI company) has achieved the lowest cost-per-token in the AI industry due to what he describes as a 'superhuman' approach to data center construction and GPU utilization. Specifically, he claims xAI builds data centers faster and at lower cost than competitors, and runs its GPUs at higher utilization rates than peers, creating a structural cost advantage in AI inference and training. This cost advantage, if sustained, would allow xAI to undercut competitors on pricing or generate superior margins as AI model usage scales. However, xAI is a private company with no US-listed equity, meaning there is no directly investable public market instrument tied to this thesis. Baker presents this as a factual structural claim based on his own analysis, with no third-party corroboration cited, limiting actionability for public market investors.</t>
  </si>
  <si>
    <t>China AI distillation / export controls</t>
  </si>
  <si>
    <t>Invested by Aleph ‚Äî Semiconductors, AI, global warming, geopolitics</t>
  </si>
  <si>
    <t>US semiconductor export controls on China are working and have extended the Western lead to potentially multi-decade</t>
  </si>
  <si>
    <t>Baker argues that US semiconductor export controls on China are working effectively and have dramatically extended the Western technological lead, contrary to skeptics like Bill Gurley who believe the controls are counterproductive. Before the controls, Baker estimates China was 6-8 years away from catching up in both semiconductor manufacturing and design; now the gap has widened to approximately a multi-decade lead that he expects to continue growing. His core reasoning is that semiconductor manufacturing is not simply a matter of copying blueprints ‚Äî the tacit, process-level knowledge embedded in leading-edge fabs cannot be replicated without access to the equipment, materials, and iterative learning that export controls deny China. He draws an analogy to jet engine technology, which took China far longer to replicate than other aerospace capabilities, suggesting that the most complex manufacturing processes are uniquely resistant to reverse engineering. The investment implication is that Western semiconductor equipment and design companies with dominant positions in leading-edge technology face a structurally protected competitive moat, as China cannot easily build domestic alternatives.</t>
  </si>
  <si>
    <t>ASML, AMAT, KLAC, LRCX</t>
  </si>
  <si>
    <t>ASML, LRCX, AMAT, KLAC</t>
  </si>
  <si>
    <t>Edge AI as bear case for cloud</t>
  </si>
  <si>
    <t>Edge AI / on-device AI is a meaningful risk to the centralized data center boom</t>
  </si>
  <si>
    <t>Baker identifies edge AI / on-device AI as a meaningful risk scenario ‚Äî not his base case ‚Äî to the current centralized data center boom. He envisions a 2-3 year horizon in which a '130 IQ' AI model runs locally on a smartphone, knows the user personally, handles tasks like banking, and calls out to cloud AI only for edge cases, dramatically reducing the volume of inference workloads routed to hyperscale data centers. His reasoning draws on the historical oscillation between centralized and decentralized computing paradigms, suggesting the current centralized AI buildout could face a structural reversal if on-device compute becomes sufficiently capable. The investment implication is a potential headwind for hyperscale cloud providers and data center infrastructure beneficiaries, though Baker frames this explicitly as a tail risk rather than a base case. No specific beneficiary of the edge AI shift is named, but the thesis implies downside risk to companies whose valuations are predicated on sustained centralized AI inference demand.</t>
  </si>
  <si>
    <t>AAPL, QCOM</t>
  </si>
  <si>
    <t>Reasoning / inference-time compute</t>
  </si>
  <si>
    <t>Scaled foundation model companies are dramatically better investments post-reasoning models due to emergence of data flywheel</t>
  </si>
  <si>
    <t>Baker argues that the emergence of reasoning models (via RLVF and test-time compute scaling) has fundamentally transformed the investment case for scaled foundation model companies by creating a user-data-product flywheel that did not previously exist in standard LLMs. Specifically, he contends that a large user base now feeds back into product quality improvement, meaning companies with the most users compound their model advantage over time ‚Äî a structural moat that was absent before reasoning models. Baker identifies OpenAI, Anthropic, XAI, and Google DeepMind as the primary beneficiaries of this dynamic, viewing them as a durable oligopoly that can now be valued on revenue multiples rather than purely speculative terms. The investment implication is to favor these scaled foundation model incumbents over challengers, as the flywheel makes it increasingly difficult for new entrants to close the gap. Notably, most of the named beneficiaries (OpenAI, Anthropic, XAI) are private, limiting direct public-market expression of this thesis primarily to Alphabet via Google DeepMind.</t>
  </si>
  <si>
    <t>GOOGL, MSFT</t>
  </si>
  <si>
    <t>GOOGL</t>
  </si>
  <si>
    <t>SpaceX is the highest risk-adjusted return (Sharpe ratio) asset available in any market, public or private</t>
  </si>
  <si>
    <t>Baker argues that SpaceX represents the highest risk-adjusted return (Sharpe ratio) of any asset available in public or private markets, making it his single highest-conviction investment idea. His reasoning rests on three pillars: Starlink alone addresses a $1 trillion-plus global telecom market with a product that is structurally superior to terrestrial alternatives, SpaceX is the most critical Western defense asset (surpassing even Anduril in his view), and the company carries long-term optionality he likens to becoming the 'British East India Company of the solar system.' Baker further notes that SpaceX is 'pro-entropic,' meaning its value increases as global disorder and geopolitical instability rise, providing a hedge against macro deterioration. The investment implication is a strong long position in SpaceX, though the company remains private and is not directly accessible via US-listed equities.</t>
  </si>
  <si>
    <t>XAI and Google have the most unique data among frontier labs, giving them structural training advantages</t>
  </si>
  <si>
    <t>Baker argues that among frontier AI labs, xAI and Google possess the most structurally defensible data moats, giving them durable training advantages over competitors. His reasoning stems from a refinement of his prior view that foundation models lacking unique data are the fastest-depreciating assets in tech ‚Äî he now identifies xAI's access to the X platform's real-time social data and Google's search index plus knowledge graph as the two most differentiated proprietary data sources available to any frontier lab. He notes Anthropic made a smart early bet by focusing on code data, and OpenAI secured internet-scale distribution by being first to market, but neither has data uniqueness comparable to xAI or Google. The investment implication is that GOOGL is the only publicly traded equity among the named leaders, making it the primary actionable beneficiary of this structural data moat thesis; xAI remains private. Baker frames this as a long-term structural view rather than a near-term catalyst.</t>
  </si>
  <si>
    <t>All-In Podcast ‚Äî Secondary markets</t>
  </si>
  <si>
    <t>Current technology valuations (public and private) are fully valued to stretched ‚Äî not a bubble like 1999/2000, but more analogous to 2021, with risk of 10-20% public market correction translating to 30-40% drawdowns in high-beta names.</t>
  </si>
  <si>
    <t>Baker and Gerstner jointly assert that technology valuations ‚Äî both public and private ‚Äî are fully valued to stretched following parabolic moves, explicitly comparing the current environment to 2021 rather than the more extreme 1999/2000 bubble. Their reasoning is that the magnitude of recent gains has compressed future return potential and elevated downside risk, without necessarily implying a catastrophic unwind. The specific risk they flag is asymmetric: a normal 10-20% correction in a semiconductor index could translate into 30-40% drawdowns in high-beta names, making position sizing and risk management critical. The investment implication is that both managers are actively selling into secondary market strength to return DPI (distributions to paid-in capital) to LPs, signaling a deliberate de-risking posture. Critically, they stop short of calling a top, but are equally explicit that they are not calling a bottom ‚Äî a stance of cautious neutrality with a bearish tilt on high-multiple, high-beta tech names.</t>
  </si>
  <si>
    <t>AI networking (Ethernet/InfiniBand)</t>
  </si>
  <si>
    <t>Arista Networks and Drivetrain (Driveats/Drivets) are high-conviction positions in the AI networking infrastructure supercycle thesis ‚Äî reinventing networking for disaggregated AI inference workloads.</t>
  </si>
  <si>
    <t>Baker argues that the AI infrastructure buildout is driving a multi-year supercycle in datacenter networking, specifically because disaggregated AI inference ‚Äî where pre-fill and decode operations run on different chips ‚Äî requires fundamentally new networking architectures to orchestrate heterogeneous silicon. He identifies Arista Networks (ANET) as one of two high-conviction public positions he has taken in this theme, crediting the company with reinventing networking for these new AI workloads. The second company he references ('Drivets' or similar) appears to be a private networking company and thus has no US-listed ticker to audit. Baker's investment implication is that traditional networking approaches are insufficient for disaggregated inference at scale, making companies that can architect AI-native networking solutions long-term structural winners. Gerstner corroborates Baker's early and high-conviction framing of this thesis, suggesting it is a foundational multi-year view rather than a near-term trade.</t>
  </si>
  <si>
    <t>ANET</t>
  </si>
  <si>
    <t>All-In Podcast ‚Äî DRAM bottleneck, AI infrastructure, Chinese open source models</t>
  </si>
  <si>
    <t>Anthropic is worth approximately $3 trillion as a public company today</t>
  </si>
  <si>
    <t>Baker argues that Anthropic, if it were publicly traded today, would command a market capitalization of approximately $3 trillion, making it one of the most valuable companies in the world. His reasoning is grounded in projected 2025 revenues well exceeding $100 billion, a strong growth trajectory toward $200-300 billion in revenue by 2028, and gross margins approaching 85% on inference at scale ‚Äî a margin profile that would justify an extremely high revenue multiple. Baker frames this not as a supply/demand capital markets problem but as a straightforward valuation exercise: apply public-market multiples to a high-growth, high-margin AI software business and the number is $3 trillion. The investment implication is primarily informational ‚Äî Anthropic is private and not directly investable for most ‚Äî but it signals Baker's conviction that frontier AI model companies represent extraordinary value creation, and that the private-to-public discount on such assets is significant.</t>
  </si>
  <si>
    <t>Anthropic</t>
  </si>
  <si>
    <t>Disaggregation prefill/decode</t>
  </si>
  <si>
    <t>Disaggregation of inference into prefill and decode phases will extend the useful life of older Nvidia GPUs (H100s, A100s) by 7-12 years</t>
  </si>
  <si>
    <t>Baker argues that the disaggregation of AI inference into two distinct computational phases ‚Äî prefill (memory-capacity-bound) and decode (memory-bandwidth-bound) ‚Äî enables a hybrid architecture where specialized chips optimized for decode can be placed in front of older Nvidia GPUs, dramatically extending the useful life of H100 and A100 hardware. He contends that chips from companies like Groq and Cerebras, which are purpose-built for memory-bandwidth-intensive decode workloads, can be paired with existing GPU fleets to create competitive inference pipelines without requiring full hardware replacement. The investment implication is that AI capex becomes more financeable and the depreciation cycle for existing GPU infrastructure extends to 7-12 years, which Baker states explicitly ('we're going to be using GPUs for seven years, 10 years, 12 years'). This is a contrarian view against the prevailing assumption of rapid GPU obsolescence and suggests that hyperscalers and enterprises with large H100/A100 fleets retain significant asset value longer than the market assumes. Baker implies Cerebras (publicly listed as CBRS) and Groq are direct beneficiaries as the specialized decode accelerators enabling this architecture, while Nvidia's older GPU installed base gains extended relevance.</t>
  </si>
  <si>
    <t>NVDA, CBRS</t>
  </si>
  <si>
    <t>Google TPU competitive position</t>
  </si>
  <si>
    <t>Chinese AI models (GLM 5.2) have achieved near-frontier capability through distillation of US model outputs, challenging the assumption of a durable US lead</t>
  </si>
  <si>
    <t>Baker argues that Chinese open-source AI models, specifically GLM 5.2, have achieved near-frontier capability through a systematic distillation process that has challenged his prior belief in a durable US AI lead. The mechanism he describes involves Chinese operators running large-scale iPhone farms to query US model APIs (such as OpenAI and Anthropic), harvesting the reasoning traces and outputs to train Chinese models via reinforcement learning ‚Äî effectively bootstrapping capability without access to frontier training runs. Critically, Baker notes that GLM 5.2 is now capable enough to conduct its own RL training, meaning the distillation dependency on US APIs may diminish and capability diffusion could accelerate autonomously. He estimates China is approximately 9 months behind US frontier models, plus or minus 3 months, a gap he views as narrower and less durable than previously assumed. The investment implication is a potential erosion of the moat enjoyed by US AI model providers, though the primary beneficiaries and subjects of this thesis are private companies (OpenAI, Anthropic) with no direct publicly traded pure-play equivalents clearly implied.</t>
  </si>
  <si>
    <t>SPAC structural analysis</t>
  </si>
  <si>
    <t>Venture firms without material exposure to trillion-dollar-plus private companies (SpaceX, Anthropic, OpenAI) face serious franchise risk and are engaging in undisciplined 'call option' behavior to compensate.</t>
  </si>
  <si>
    <t>Baker argues that venture capital firms lacking meaningful exposure to the handful of trillion-dollar-plus private companies ‚Äî specifically SpaceX, Anthropic, and OpenAI ‚Äî face serious franchise risk as their DPI and overall returns deteriorate from top-quintile to mediocre performance. His reasoning is that these mega-private winners are so dominant in driving VC returns that firms without a position in them are being left behind structurally, not just cyclically. In response, Baker observes these firms engaging in undisciplined 'call option' behavior ‚Äî making speculative bets on long-shot companies like 'Neolabs' in hopes of a lottery-ticket outcome to compensate for missing the primary winners. By contrast, firms with exposure to SpaceX, Anthropic, or OpenAI are behaving more disciplined, creating a bifurcated VC landscape. The investment implication is primarily a private markets observation with no directly actionable US-listed equity trade, though it signals deteriorating quality in the broader VC ecosystem.</t>
  </si>
  <si>
    <t>Frontier model concentration</t>
  </si>
  <si>
    <t>Thematic Investors ‚Äî Blending sci-fi, history and literature</t>
  </si>
  <si>
    <t>Only four foundation model companies have a realistic chance of winning: Google, Meta, xAI, and OpenAI/Microsoft ‚Äî all others will fail or be acquired at preference</t>
  </si>
  <si>
    <t>Baker argues that the foundation model layer of AI will consolidate to exactly four winners ‚Äî Google, Meta, xAI, and OpenAI/Microsoft ‚Äî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‚Äî co-founded by a DeepMind co-founder ‚Äî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</si>
  <si>
    <t>GOOGL, META, MSFT</t>
  </si>
  <si>
    <t>INSUFFICIENT_DATA</t>
  </si>
  <si>
    <t>THIRD_MENTION_WITHIN_1YR</t>
  </si>
  <si>
    <t>Humanoid robots will revolutionize blue-collar work once LLM reasoning capabilities are embedded</t>
  </si>
  <si>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</si>
  <si>
    <t>Power availability is the binding constraint on AI data center scaling; only three viable gigawatt-scale sites exist in the US</t>
  </si>
  <si>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‚Äî particularly Constellation Energy (CEG) and Vistra (VST) ‚Äî are the clearest implied beneficiaries given their large nuclear fleets and existing data center power deal activity.</t>
  </si>
  <si>
    <t>CEG, VST</t>
  </si>
  <si>
    <t>VST, CEG</t>
  </si>
  <si>
    <t>Scaling laws remain the dominant driver of AI quality improvement; compute is the key variable</t>
  </si>
  <si>
    <t>Baker argues that scaling laws ‚Äî what he calls the 'iron law of AI' ‚Äî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</si>
  <si>
    <t>NVDA, GOOGL, META, MSFT</t>
  </si>
  <si>
    <t>xAI is the most compelling private AI company due to unique data (X/Twitter), compute, and distribution</t>
  </si>
  <si>
    <t>Baker argues that xAI is the most compelling private AI company because it possesses a uniquely valuable combination of proprietary data, compute, and distribution that few competitors can replicate. Specifically, he highlights X/Twitter's human debate data ‚Äî including Community Notes as a crowdsourced truth mechanism ‚Äî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</si>
  <si>
    <t>META, GOOGL, MSFT</t>
  </si>
  <si>
    <t>AI capex ROI positive</t>
  </si>
  <si>
    <t>All-In Podcast ‚Äî Trump transition, SEC/crypto regulation, xAI Colossus, AI scaling laws, MicroStrategy, defense tech</t>
  </si>
  <si>
    <t>Hyperscaler ROI on AI capex has been strongly positive to date (ROIC went vertical post-GPU ramp) but the sustainability at $100B+ training costs is the key open question</t>
  </si>
  <si>
    <t>Baker argues that hyperscaler ROI on AI capital expenditure has been strongly positive to date, with ROIC going vertical since the major GPU ramp began and only recently starting to level off ‚Äî making the current-generation ROI debate largely settled in favor of continued spending. His evidence is straightforward: the biggest GPU spenders are public companies that report quarterly financials, and those financials show the returns have been real and measurable. However, he flags the $100B+ training cost scenario as a genuine future risk to returns, as the economics at that scale are unproven and uncertain. Critically, Baker frames hyperscaler AI spending as a prisoners' dilemma: even if ROI decelerates, no single hyperscaler can unilaterally stop spending because the winner of the AI race may capture tens or hundreds of trillions in value, making continued capex rational regardless of near-term return concerns. The investment implication is that GOOGL, META, MSFT, and AMZN are likely to sustain or grow AI capex through the medium term, and their current ROIC trajectory supports the thesis that spending has been justified.</t>
  </si>
  <si>
    <t>GOOGL, META, MSFT, AMZN</t>
  </si>
  <si>
    <t>AMZN, MSFT, GOOGL, META</t>
  </si>
  <si>
    <t>US chip export restrictions on China are functioning as a 'sophon' (Three Body Problem reference) ‚Äî a meaningful handicap ‚Äî but necessity-driven Chinese innovation is keeping them just behind the frontier, a risk that may close when Blackwell ships</t>
  </si>
  <si>
    <t>Baker argues that US chip export restrictions on China are functioning as a meaningful handicap ‚Äî analogous to the 'sophon' from The Three Body Problem ‚Äî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‚Äî particularly those whose products China cannot access ‚Äî stand to benefit as the gap widens, while the thesis also supports the continued strategic value of export controls as policy. Baker's view is forward-looking and qualified, contingent on Blackwell shipments proceeding as expected.</t>
  </si>
  <si>
    <t>NVDA, AMD, AVGO</t>
  </si>
  <si>
    <t>Coding as killer AI app</t>
  </si>
  <si>
    <t>Human language will become the dominant programming language within the next year, fundamentally restructuring the software industry</t>
  </si>
  <si>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‚Äî though no single US-listed pure-play on this thesis is unambiguous enough to add with confidence.</t>
  </si>
  <si>
    <t>Defense tech consolidation</t>
  </si>
  <si>
    <t>Defense tech will consolidate into 7-10 new prime contractors; Anduril and Shield AI (Seric) are likely among them ‚Äî these will be massive winners</t>
  </si>
  <si>
    <t>Baker agrees with Joe Lonsdale's structural view that the US defense tech ecosystem will consolidate around 7-10 new prime contractors rather than producing hundreds of winners, with the vast majority of defense tech investments ultimately going to zero. The thesis is grounded in a fundamental shift in modern warfare toward drones, electronic warfare, and swarming tactics, which renders legacy platforms like aircraft carriers and the F-35 over-allocated and strategically obsolete. Anduril is cited as the clearest example of a likely new prime, with Shield AI (Seric) also mentioned as a probable member of this elite group. The investment implication is highly selective: only a handful of defense tech companies will generate outsized returns, and broad exposure to the sector is a losing strategy. Neither Anduril nor Shield AI are currently publicly listed US equities, so no actionable public market tickers can be identified from this thesis.</t>
  </si>
  <si>
    <t>MSTR / Bitcoin strategy risk</t>
  </si>
  <si>
    <t>MicroStrategy's debt-funded Bitcoin accumulation strategy has a structural ceiling and will break down at scale</t>
  </si>
  <si>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‚Äî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</si>
  <si>
    <t>MSTR</t>
  </si>
  <si>
    <t>Microsoft AI position</t>
  </si>
  <si>
    <t>Open AI has lost significant talent and Microsoft's largest cluster is still smaller than xAI's Colossus ‚Äî xAI is positioned to take the frontier model lead</t>
  </si>
  <si>
    <t>Baker argues that xAI is positioned to surpass OpenAI at the frontier model level by January or February 2025, driven by its Colossus supercluster advantage and OpenAI's accelerating talent exodus. He cites Mira Murati's resignation during an active fundraise as a particularly damning signal of internal dysfunction at OpenAI ‚Äî framing it as the only way she could express disapproval while still securing her financial stake. Baker notes that even Microsoft, which panicked and rushed to build a competing cluster, ended up with infrastructure still smaller than xAI's Colossus, suggesting xAI holds a meaningful compute lead. The investment implication is conditional: if scaling laws continue to hold, xAI's compute superiority translates directly into frontier model leadership, making it the primary beneficiary ‚Äî though xAI is not publicly listed. MSFT's rushed and still-insufficient cluster build is presented as evidence of competitive anxiety rather than a bullish signal for Microsoft itself.</t>
  </si>
  <si>
    <t>MSFT</t>
  </si>
  <si>
    <t>Nuclear / clean energy for AI</t>
  </si>
  <si>
    <t>Nuclear energy is the best near-term solution for US electricity capacity expansion; solar is the long-term winner but 50 years away from dominance</t>
  </si>
  <si>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</si>
  <si>
    <t>CCJ, VST, CEG</t>
  </si>
  <si>
    <t>All-In Podcast ‚Äî 2025 predictions (bestie guest Gavin Baker)</t>
  </si>
  <si>
    <t>Inference compute and test-time compute will cause a second GPU/accelerator shortage in 2025 analogous to 2023</t>
  </si>
  <si>
    <t>Baker argues that the emergence of reasoning models (specifically citing o3) has introduced a third scaling axis ‚Äî test-time/reasoning compute ‚Äî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‚Äî most directly NVIDIA as the dominant provider ‚Äî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</si>
  <si>
    <t>NVDA, MU</t>
  </si>
  <si>
    <t>NVDA, AMD</t>
  </si>
  <si>
    <t>HedgeFundAlpha (writeup) ‚Äî SK Hynix / HBM pitch</t>
  </si>
  <si>
    <t>AI's shift from training to inference is driving rapid and accelerating growth in memory demand, particularly HBM.</t>
  </si>
  <si>
    <t>Baker argues that the AI industry's structural shift from training-dominated workloads to inference (including reasoning models) is the primary driver of accelerating demand for high-bandwidth memory. His reasoning is that inference workloads ‚Äî especially those involving large reasoning models ‚Äî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</si>
  <si>
    <t>000660.KS, MU</t>
  </si>
  <si>
    <t>Reasoning models (advanced inference-time compute scaling) are a structural catalyst for HBM demand growth beyond what consensus expects.</t>
  </si>
  <si>
    <t>Baker argues that the emergence of reasoning models ‚Äî which scale compute at inference time rather than only at training time ‚Äî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</si>
  <si>
    <t>Custom ASIC failure thesis</t>
  </si>
  <si>
    <t>a16z Podcast ‚Äî Is there an AI bubble?</t>
  </si>
  <si>
    <t>Most custom ASIC programs will fail within 3 years; Google TPU external sales could be the catalyst</t>
  </si>
  <si>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‚Äî Google itself required three full generations of iteration before its TPU became viable ‚Äî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</si>
  <si>
    <t>NVDA, AVGO, AMD, GOOGL</t>
  </si>
  <si>
    <t>GOOGL, AMZN</t>
  </si>
  <si>
    <t>Nvidia's roundtripping investments in AI labs are strategically rational competitive responses to Google's TPU ecosystem</t>
  </si>
  <si>
    <t>Baker argues that Nvidia's equity investments in AI labs like OpenAI and xAI ‚Äî often criticized as 'roundtripping' where Nvidia invests cash that comes back as chip purchases ‚Äî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</si>
  <si>
    <t>NVDA, GOOGL</t>
  </si>
  <si>
    <t>Bottleneck trade ending</t>
  </si>
  <si>
    <t>TBPN ‚Äî Token factories, sovereign AI</t>
  </si>
  <si>
    <t>The 'bottleneck trade' in AI supply chain is nearing its end; the next game is identifying companies with enduring franchise value</t>
  </si>
  <si>
    <t>Baker argues that the 'bottleneck bros' trade in AI infrastructure ‚Äî owning companies that benefit from supply-chain scarcity ‚Äî is nearing its end, and investors who continue to hold these names purely for bottleneck pricing power will be disappointed. He cites Ajinomoto as a concrete recent example: the company declined to raise prices despite being a critical ABF substrate supplier, disappointing investors who owned it as a bottleneck play and signaling that the era of scarcity-driven pricing power is fading. The investment implication is a strategic rotation: rather than chasing the next bottleneck, Baker believes the winning framework is identifying companies with enduring franchise value that will persist beyond the current supply-chain tightness cycle. No specific replacement names are identified in this thesis segment, but the directional call is to reduce exposure to pure bottleneck plays and shift toward durable competitive moats in AI.</t>
  </si>
  <si>
    <t>TYO:2802</t>
  </si>
  <si>
    <t>Inference economics / token factories</t>
  </si>
  <si>
    <t>Being a 'token factory' is sufficient as a business model for the next 5-10 years; the world needs more token factories</t>
  </si>
  <si>
    <t>Baker argues that operating as a 'token factory' ‚Äî a pure-play AI compute provider focused solely on generating tokens at scale ‚Äî is a fully sufficient and durable business model for the next 5-10 years, without needing to build out a full cloud stack (databases, storage, orchestration layers, etc.) as AWS or Azure have done. His reasoning is structural: global demand for AI inference and training compute is so large and growing so fast that specialization in token generation alone is a defensible and highly valuable position. The investment implication is that pure-play AI compute providers and neoclouds should not be penalized for lacking broader cloud services, and that their focused model is a feature, not a limitation. Baker frames this as a contrarian pushback against the view that token factories must eventually verticalize to compete with hyperscalers.</t>
  </si>
  <si>
    <t>CRWV, NVDA</t>
  </si>
  <si>
    <t>CRWV</t>
  </si>
  <si>
    <t>Meta AI transformation</t>
  </si>
  <si>
    <t>Meta's EV/net PP&amp;E multiple reflects extreme market skepticism about monetizing its asset base; outcome uncertain but Zuckerberg has proven ability to pivot</t>
  </si>
  <si>
    <t>Baker observes that Meta's EV/net PP&amp;E multiple is sitting at a level that implies the market has 'immense skepticism' about the company's ability to monetize its massive GPU and data center asset base. He points to specific evidence supporting that skepticism: Meta AI has not broken through as a top consumer app, there is no clear killer feature emerging within Instagram, and the API/enterprise business model remains undefined. However, Baker notes that Zuckerberg has demonstrated a willingness and ability to execute sharp pivots when necessary ‚Äî citing the aggressive 2022 layoff cycle as evidence ‚Äî and flags Muse Spark as an unexpected upside surprise that suggests the asset base is not without optionality. Baker stops short of a bullish call, framing the thesis as a 'we'll see' situation where the valuation reflects a pessimistic base case but the outcome remains genuinely uncertain. The investment implication is that META offers asymmetric optionality at current multiples if monetization pathways materialize, but Baker does not recommend a directional position.</t>
  </si>
  <si>
    <t>META</t>
  </si>
  <si>
    <t>SpaceX near-term value is driven by terrestrial compute gigawatt ramp and Grok/cursor adoption, not long-duration space optionality</t>
  </si>
  <si>
    <t>Baker argues that the near-term investment thesis for SpaceX is not about long-duration space optionality (Mars colonization, asteroid mining) but rather two concrete near-term drivers: the speed at which SpaceX can bring terrestrial compute gigawatts online, monetized at approximately $50B per gigawatt (referencing a Google deal and benchmarking against neocloud pricing that is 2-3x higher per Altimeter's analysis), and the adoption of Grok/Cursor reaching half the Fortune 500. He provides specific revenue math to ground the valuation, suggesting the compute buildout alone could be a massive near-term value driver. The investment implication is that SpaceX's valuation should be evaluated primarily on these two variables over the next year, not on speculative space assets. Because SpaceX remains private, there is no directly actionable public equity, though the thesis has implications for how investors think about AI infrastructure monetization broadly.</t>
  </si>
  <si>
    <t>Sovereign AI</t>
  </si>
  <si>
    <t>Sovereign AI for most countries will be fine-tuned open-source models run in local data centers, not frontier model development; China will fall further behind</t>
  </si>
  <si>
    <t>Baker argues that sovereign AI for virtually all countries outside the US (and possibly China) will not involve frontier model development, but rather a practical stack: fine-tuning open-source models on local language, culture, and values using RL from a provider, adding system prompts and supervised fine-tuning, and running the result in local data centers. He views frontier sovereign AI as structurally non-viable for most nations due to the prohibitive cost and talent requirements. On China specifically, Baker calls their strategy a 'terrible mistake' ‚Äî relying on domestic chips and distillation of Western frontier models is a dead end because as frontier models get locked down (e.g., via initiatives like Mythos), China's distillation advantage disappears and they fall further behind. The investment implication is macro-structural rather than single-stock: the thesis favors open-source model ecosystems and local inference infrastructure, but no specific US-listed equity is the unambiguous beneficiary given the diffuse, geopolitical nature of the claim.</t>
  </si>
  <si>
    <t>speculative</t>
  </si>
  <si>
    <t>Invest Like the Best (YouTube) ‚Äî GPUs, TPUs, economics of AI (Nvidia vs Google)</t>
  </si>
  <si>
    <t>A true DRAM capacity cycle (not seen since the late 1990s) could emerge as a natural governor and risk to AI buildout</t>
  </si>
  <si>
    <t>Baker raises the possibility that AI infrastructure buildout could trigger the first true DRAM capacity cycle since the late 1990s ‚Äî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‚Äî a tail risk worth monitoring. He does not assign a specific probability or timing, but the implication is that US-listed DRAM producers like Micron would be the primary beneficiaries if such a cycle materializes.</t>
  </si>
  <si>
    <t>Edge AI running pruned frontier models on-device is the primary bear case for cloud AI compute demand</t>
  </si>
  <si>
    <t>Baker identifies edge AI ‚Äî running pruned frontier models locally on-device ‚Äî as the most plausible and serious bear case for cloud AI compute demand, second only to scaling laws breaking down. He argues that within three years, smartphones (likely larger and carrying more on-device DRAM) will be capable of running pruned versions of models like Gemini 5 at 30‚Äì60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‚Äî if on-device intelligence reaches roughly 115 IQ and proves 'good enough' for most tasks, demand for cloud inference compute (and thus GPU/TPU datacenter buildout) could materially disappoint relative to current expectations.</t>
  </si>
  <si>
    <t>AAPL, GOOGL</t>
  </si>
  <si>
    <t>Nuclear/quantum bubble warning</t>
  </si>
  <si>
    <t>Nuclear and quantum computing public equities are in bubble territory; the best players are not publicly investable</t>
  </si>
  <si>
    <t>Baker argues that publicly traded nuclear/SMR/fusion and quantum computing stocks are in clear bubble territory, with valuations disconnected from fundamentals. His core reasoning is that the actual leaders in quantum computing ‚Äî Google, IBM, and Honeywell Quantum ‚Äî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</si>
  <si>
    <t>TSMC capacity discipline</t>
  </si>
  <si>
    <t>TSMC is being too conservative in capacity expansion, acting as a governor on the AI buildout but potentially making a strategic mistake</t>
  </si>
  <si>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‚Äî TSMC's caution may also serve as a 'natural governor' preventing a speculative bubble ‚Äî but his base case is that demand will prove TSMC's conservatism wrong over the medium term, making Intel a potential beneficiary of the supply gap.</t>
  </si>
  <si>
    <t>TSM, INTC</t>
  </si>
  <si>
    <t>Trainium / Amazon custom silicon</t>
  </si>
  <si>
    <t>Most ASICs other than Trainium and TPU will fail; only those with multi-generation experience will be competitive</t>
  </si>
  <si>
    <t>Baker argues that the ASIC market for AI accelerators will consolidate to only two viable players ‚Äî Google's TPU and Amazon's Trainium ‚Äî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‚Äî from startups and hyperscalers alike ‚Äî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</si>
  <si>
    <t>NVDA, AMZN, GOOGL</t>
  </si>
  <si>
    <t>AMZN</t>
  </si>
  <si>
    <t>Anthropic is burning dramatically less cash than OpenAI while growing faster, benefiting from Google/Amazon TPU and Trainium access</t>
  </si>
  <si>
    <t>Baker argues that Anthropic is demonstrating superior capital efficiency relative to OpenAI, burning dramatically less cash while growing faster, which he attributes in large part to its privileged access to Google TPUs and Amazon Trainium chips ‚Äî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</si>
  <si>
    <t>GOOGL, AMZN, NVDA</t>
  </si>
  <si>
    <t>Heller House / Mission Control ‚Äî SpaceX IPO Week ‚Äî CFO Bret Johnson Profile</t>
  </si>
  <si>
    <t>SpaceX's xAI acquisition is generating massive compute rental revenue ($1.25B/month from Anthropic, $920M/month from Google) but this is datacenter rental revenue, not AI product revenue</t>
  </si>
  <si>
    <t>Baker (or the reporter profiling SpaceX CFO Bret Johnson) argues that SpaceX/xAI's reported AI revenue is a quality-of-earnings concern because it is derived from compute rental deals ‚Äî specifically $1.25B/month from Anthropic and $920M/month from Google ‚Äî rather than organic AI product demand. The thesis holds that xAI overbuilt datacenter capacity and, following cost cuts and researcher departures post-acquisition, is monetizing excess capacity by renting it to third parties. This is structurally different from the subscription and API revenue that OpenAI or Anthropic generate, making SpaceX's AI revenue growth optically impressive but fundamentally lower quality. The investment implication is a cautionary flag for any SpaceX IPO valuation that ascribes high multiples to AI revenue, as that revenue is capacity utilization income contingent on third-party demand rather than proprietary product traction. No specific timeframe is given, but the concern is framed as near-term and directly relevant to SpaceX's IPO narrative.</t>
  </si>
  <si>
    <t>HedgeFundAlpha (writeup) ‚Äî Baker &amp; Khaira fireside writeup</t>
  </si>
  <si>
    <t>Memory cycle dynamics represent the most important investment judgment call Baker has faced in his career</t>
  </si>
  <si>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‚Äî likely related to the intersection of AI datacenter HBM demand and traditional DRAM cycle dynamics ‚Äî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</si>
  <si>
    <t>MU, HXSCL</t>
  </si>
  <si>
    <t>Neoclouds as durable model</t>
  </si>
  <si>
    <t>Sohn NY 2026 ‚Äî Tech investing fireside</t>
  </si>
  <si>
    <t>Neo/specialist clouds (CoreWeave, Crusoe, Nebius, Lambda) represent a durable business model, not a transitional arbitrage</t>
  </si>
  <si>
    <t>Baker argues that neo/specialist cloud providers ‚Äî companies like CoreWeave, Crusoe, Nebius, and Lambda ‚Äî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2‚Äì3x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</si>
  <si>
    <t>CRWV, NBIS</t>
  </si>
  <si>
    <t>Terrestrial data center power, cooling, and industrial infrastructure names face structural short risk as orbital compute approaches</t>
  </si>
  <si>
    <t>Baker argues that terrestrial data center infrastructure companies ‚Äî specifically those in power delivery, cooling systems, and industrial build-out ‚Äî face a structural short risk as orbital compute matures over the next 5‚Äì7 years. His reasoning is that space-based compute eliminates the two largest cost and infrastructure inputs of terrestrial data centers: power (provided by the sun in orbit) and cooling (provided by the cold dark side of a satellite), making the entire terrestrial infrastructure stack potentially obsolete at scale. Companies that have massively expanded capacity to serve the current AI-driven data center boom will face a 'screeching halt' in demand as orbital compute takes share, and the transition period itself will be 'very painful' for these names. The investment implication is a medium-to-long-term structural short on power, cooling, and industrial infrastructure companies levered to terrestrial data center construction, though Baker acknowledges the 5‚Äì7 year timeline means this is not an imminent catalyst. No specific tickers were named, and the implied short candidates ‚Äî while conceptually clear as a category ‚Äî are too numerous and ambiguous to identify unambiguously from the thesis alone.</t>
  </si>
  <si>
    <t>TSMC's deliberate capacity restraint will prevent an AI bubble and sustain a prolonged upcycle in leading-edge wafer supply</t>
  </si>
  <si>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‚Äî 'flinty old men and women' ‚Äî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‚Äî and thus a core long. Baker notes that Nvidia alone could sell $1‚Äì2 trillion of chips if TSMC capacity were available, underscoring the magnitude of suppressed demand flowing through TSM's fabs.</t>
  </si>
  <si>
    <t>TSM, NVDA</t>
  </si>
  <si>
    <t>Amazon's Trainium chips are the most underestimated AI play in the market</t>
  </si>
  <si>
    <t>Baker argues that Amazon's Trainium custom AI training silicon represents the most underestimated AI investment opportunity in the market, suggesting the street is systematically mispricing this capability within AMZN shares. His core reasoning is that Trainium reduces AWS's dependence on Nvidia GPUs, which carries significant margin and competitive implications: as AWS deploys more proprietary silicon, it captures more of the value chain internally rather than paying Nvidia's premium pricing. The investment implication is that AWS margin expansion and competitive positioning in AI cloud services are not yet reflected in AMZN's valuation, making it a contrarian long. Baker's use of superlative framing ('most underestimated AI play in the market') signals this is a prepared, high-conviction differentiated view rather than a passing observation. No specific revenue figures or timeframes were cited, but the medium-term horizon implies Baker expects Trainium's impact to become visible in AWS financials within the next one to three years.</t>
  </si>
  <si>
    <t>Usage-based AI pricing shift</t>
  </si>
  <si>
    <t>AI frontier model pricing is shifting from flat-rate subscriptions to usage-based with overage, which is wildly bullish for AI revenue and token pricing</t>
  </si>
  <si>
    <t>Baker argues that the AI frontier model industry is undergoing a fundamental pricing shift analogous to the cellular industry's transition from flat-rate minute plans to per-minute overage pricing ‚Äî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‚Äî OpenAI and Anthropic ‚Äî are private and not US-listed equities, leaving no directly actionable public ticker from this specific thesis.</t>
  </si>
  <si>
    <t>AI destroying application layer value</t>
  </si>
  <si>
    <t>Invest Like the Best (YouTube) ‚Äî Watts and wafers</t>
  </si>
  <si>
    <t>AI has net destroyed trillions of dollars of value at the application layer, and value creation is concentrated in companies with the highest ratio of utilized GPUs per human</t>
  </si>
  <si>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‚Äî the value destruction has already occurred and the structural dynamic is already in motion. Investors should be cautious of legacy application-layer software companies and skeptical of the assumption that AI is uniformly additive to enterprise software valuations.</t>
  </si>
  <si>
    <t>ALAB / copper vs fiber</t>
  </si>
  <si>
    <t>Astera Labs is a high-conviction long that has been miscategorized as a 'copper loser' in market baskets, when it is structurally a beneficiary of both copper and optical connectivity</t>
  </si>
  <si>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‚Äî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</si>
  <si>
    <t>ALAB</t>
  </si>
  <si>
    <t>Google has lost its per-cost-token leadership due to conservative TPU v8 design decisions, shifting the Pareto frontier to Anthropic, OpenAI, and xAI</t>
  </si>
  <si>
    <t>Baker argues that Google has lost its dominant position on the AI Pareto frontier (intelligence vs. cost-per-token) over the past nine months, with Anthropic, OpenAI, and xAI's Grok now leading while Google's Gemini 3.1 merely 'hangs on' to the frontier ‚Äî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‚Äî Anthropic, OpenAI, and xAI ‚Äî remain private, limiting direct investable expression of the beneficiary side of this thesis.</t>
  </si>
  <si>
    <t>GOOGL, AVGO</t>
  </si>
  <si>
    <t>Microsoft flinched on AI capex in early 2025 and is now making the right but risky decision to use compute for internal products rather than selling to OpenAI ‚Äî this is underappreciated by the market</t>
  </si>
  <si>
    <t>Baker argues that Microsoft made a critical strategic error in early 2025 by briefly pulling back on AI capex, causing it to lose compute allocations that are difficult to recover ‚Äî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‚Äî Baker gives Satya credit for strategic courage but is not unambiguously bullish, flagging team capability as the key risk to watch on the internal model training ambition.</t>
  </si>
  <si>
    <t>Companies in the power production and cooling ecosystem that are massively ramping capacity face risk from orbital compute becoming real just as that capacity hits</t>
  </si>
  <si>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‚Äî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</si>
  <si>
    <t>GEV, ETN, VRT, PWR</t>
  </si>
  <si>
    <t>TSMC's capacity discipline is the single most important variable in preventing an AI infrastructure bubble</t>
  </si>
  <si>
    <t>Baker argues that TSMC's capacity discipline is the single most important variable determining whether AI infrastructure investment tips into an overbuild bubble. His core claim is that if TSMC were to fulfill Jensen Huang's full demand ambitions, Nvidia could theoretically sell $2‚Äì3 trillion worth of GPUs in 2026‚Äì27,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</si>
  <si>
    <t>Amazon is in a strong position due to Trainium, real P&amp;L efficiencies from robotics in retail over the next 18 months, and underappreciated Nova models</t>
  </si>
  <si>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‚Äî specifically its switch scale-up network ‚Äî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</si>
  <si>
    <t>BG2 Pod ‚Äî SpaceX IPO, AI capex, Cursor</t>
  </si>
  <si>
    <t>Coding is the fastest path to AGI/ASI and will continue to be the dominant high-value AI use case capturing frontier model revenue</t>
  </si>
  <si>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‚Äî particularly those with coding-specific data advantages ‚Äî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</si>
  <si>
    <t>ANTH, XAI</t>
  </si>
  <si>
    <t>Open source AI bullish for hardware</t>
  </si>
  <si>
    <t>Open-source AI success is bullish for compute/hardware providers, not bearish for the AI ecosystem</t>
  </si>
  <si>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‚Äî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</si>
  <si>
    <t>SpaceX IPO post-listing drawdown risk is real but the lock-up and employee liquidity history mitigate selling pressure</t>
  </si>
  <si>
    <t>Baker argues that while historical data on major tech IPOs (Facebook, Twitter, Alibaba, Shopify) shows average maximum post-IPO drawdowns exceeding 50%, SpaceX's situation is structurally different in ways that may meaningfully reduce post-listing selling pressure. His reasoning centers on three mitigating factors: SpaceX employees have had liquidity events every six months for approximately ten years (~20 opportunities to sell), Elon Musk owns roughly 50% of the company and will be locked up for 365 days post-IPO, and the stock is expected to enter major indices quickly, creating sustained institutional buying demand. Baker acknowledges this is 'utterly unprecedented' territory and explicitly states he does not know what will happen in the short term, framing the honest investor posture as uncertainty. His practical recommendation is a 'set-it-and-forget-it' approach with tactical position sizing around volatility rather than attempting to time the post-IPO drawdown.</t>
  </si>
  <si>
    <t>event + basket</t>
  </si>
  <si>
    <t>Steve Notes</t>
  </si>
  <si>
    <t>Non tech but nice hit in 1 year</t>
  </si>
  <si>
    <t xml:space="preserve">More of a long tsla/short EV. </t>
  </si>
  <si>
    <t>Actions</t>
  </si>
  <si>
    <t>no smh benchmark</t>
  </si>
  <si>
    <t>Ignore</t>
  </si>
  <si>
    <t>not sure why this is google</t>
  </si>
  <si>
    <t>no trade</t>
  </si>
  <si>
    <t>ignore</t>
  </si>
  <si>
    <t>pair trade, long goog+ nvda vs short avgo</t>
  </si>
  <si>
    <t>if anythign short goog</t>
  </si>
  <si>
    <t>should be SMH</t>
  </si>
  <si>
    <t>IGV</t>
  </si>
  <si>
    <t>BAKER MENTIONED</t>
  </si>
  <si>
    <t>short SMH</t>
  </si>
  <si>
    <t>amzn, meta, msft, goog, amzn, nvda</t>
  </si>
  <si>
    <t>baker mentioned</t>
  </si>
  <si>
    <t>no basket</t>
  </si>
  <si>
    <t>add nbis, baker mentioned</t>
  </si>
  <si>
    <t>smh</t>
  </si>
  <si>
    <t>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</si>
</sst>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43"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1C1D-B187-9B4A-9E6A-7517C99DD7F3}">
  <dimension ref="A1:AT167"/>
  <sheetViews>
    <sheetView tabSelected="1" topLeftCell="K1" zoomScale="120" zoomScaleNormal="120" workbookViewId="0">
      <selection activeCell="AA15" sqref="AA15"/>
    </sheetView>
  </sheetViews>
  <sheetFormatPr baseColWidth="10" defaultRowHeight="16" x14ac:dyDescent="0.2"/>
  <cols>
    <col min="27" max="27" width="45" bestFit="1" customWidth="1"/>
    <col min="32" max="32" width="45" bestFit="1" customWidth="1"/>
  </cols>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339</v>
      </c>
      <c r="AB1" t="s">
        <v>340</v>
      </c>
      <c r="AC1" t="s">
        <v>343</v>
      </c>
      <c r="AG1" t="s">
        <v>14</v>
      </c>
      <c r="AH1" t="s">
        <v>15</v>
      </c>
      <c r="AI1" t="s">
        <v>16</v>
      </c>
      <c r="AJ1" t="s">
        <v>17</v>
      </c>
      <c r="AK1" t="s">
        <v>18</v>
      </c>
      <c r="AL1" t="s">
        <v>19</v>
      </c>
      <c r="AM1" t="s">
        <v>20</v>
      </c>
      <c r="AN1" t="s">
        <v>21</v>
      </c>
      <c r="AO1" t="s">
        <v>22</v>
      </c>
      <c r="AP1" t="s">
        <v>23</v>
      </c>
      <c r="AQ1" t="s">
        <v>24</v>
      </c>
      <c r="AR1" t="s">
        <v>25</v>
      </c>
    </row>
    <row r="2" spans="1:46" x14ac:dyDescent="0.2">
      <c r="A2" s="1">
        <v>43958</v>
      </c>
      <c r="B2" t="s">
        <v>26</v>
      </c>
      <c r="C2" t="s">
        <v>27</v>
      </c>
      <c r="D2" t="s">
        <v>28</v>
      </c>
      <c r="E2">
        <v>1</v>
      </c>
      <c r="F2">
        <v>2</v>
      </c>
      <c r="G2" t="s">
        <v>29</v>
      </c>
      <c r="H2" t="s">
        <v>30</v>
      </c>
      <c r="I2" t="s">
        <v>31</v>
      </c>
      <c r="J2" t="s">
        <v>32</v>
      </c>
      <c r="K2" t="s">
        <v>33</v>
      </c>
      <c r="L2" t="s">
        <v>34</v>
      </c>
      <c r="M2" t="s">
        <v>35</v>
      </c>
      <c r="N2" t="b">
        <v>0</v>
      </c>
      <c r="O2">
        <v>3.5</v>
      </c>
      <c r="P2">
        <v>31.76</v>
      </c>
      <c r="Q2">
        <v>27.16</v>
      </c>
      <c r="R2">
        <v>-5.9</v>
      </c>
      <c r="S2">
        <v>14.25</v>
      </c>
      <c r="T2">
        <v>28.7</v>
      </c>
      <c r="U2">
        <v>84.09</v>
      </c>
      <c r="V2">
        <v>76.77</v>
      </c>
      <c r="W2">
        <v>-10.75</v>
      </c>
      <c r="X2">
        <v>3.06</v>
      </c>
      <c r="Y2">
        <v>-56.93</v>
      </c>
      <c r="Z2">
        <v>-82.67</v>
      </c>
      <c r="AA2" t="str">
        <f>C2&amp;L2</f>
        <v>FIRST_MENTION_AND_HCCONSTRUCTED</v>
      </c>
      <c r="AC2" t="s">
        <v>360</v>
      </c>
      <c r="AF2" t="str" cm="1">
        <f t="array" ref="AF2:AF8">_xlfn.UNIQUE(C2:C126)</f>
        <v>FIRST_MENTION_AND_HC</v>
      </c>
      <c r="AG2" s="2">
        <f>AVERAGEIF($C:$C,$AF2,O:O)</f>
        <v>3.1796296296296296</v>
      </c>
      <c r="AH2" s="2">
        <f>AVERAGEIF($C:$C,$AF2,P:P)</f>
        <v>2.183333333333334</v>
      </c>
      <c r="AI2" s="2">
        <f>AVERAGEIF($C:$C,$AF2,Q:Q)</f>
        <v>24.304999999999989</v>
      </c>
      <c r="AJ2" s="2">
        <f>AVERAGEIF($C:$C,$AF2,R:R)</f>
        <v>39.294705882352943</v>
      </c>
      <c r="AK2" s="2">
        <f>AVERAGEIF($C:$C,$AF2,S:S)</f>
        <v>3.7489189189189198</v>
      </c>
      <c r="AL2" s="2">
        <f>AVERAGEIF($C:$C,$AF2,T:T)</f>
        <v>3.0142424242424242</v>
      </c>
      <c r="AM2" s="2">
        <f>AVERAGEIF($C:$C,$AF2,U:U)</f>
        <v>24.447037037037031</v>
      </c>
      <c r="AN2" s="2">
        <f>AVERAGEIF($C:$C,$AF2,V:V)</f>
        <v>60.446818181818188</v>
      </c>
      <c r="AO2" s="2">
        <f>AVERAGEIF($C:$C,$AF2,W:W)</f>
        <v>-1.7174074074074075</v>
      </c>
      <c r="AP2" s="2">
        <f>AVERAGEIF($C:$C,$AF2,X:X)</f>
        <v>-2.9708333333333337</v>
      </c>
      <c r="AQ2" s="2">
        <f>AVERAGEIF($C:$C,$AF2,Y:Y)</f>
        <v>-6.5654999999999983</v>
      </c>
      <c r="AR2" s="2">
        <f>AVERAGEIF($C:$C,$AF2,Z:Z)</f>
        <v>-19.217058823529413</v>
      </c>
      <c r="AS2" s="2"/>
      <c r="AT2" s="2">
        <f>COUNTIF(C:C,AF2)</f>
        <v>38</v>
      </c>
    </row>
    <row r="3" spans="1:46" x14ac:dyDescent="0.2">
      <c r="A3" s="1">
        <v>43958</v>
      </c>
      <c r="B3" t="s">
        <v>26</v>
      </c>
      <c r="C3" t="s">
        <v>36</v>
      </c>
      <c r="D3" t="s">
        <v>28</v>
      </c>
      <c r="E3">
        <v>1</v>
      </c>
      <c r="F3">
        <v>2</v>
      </c>
      <c r="G3" t="s">
        <v>29</v>
      </c>
      <c r="H3" t="s">
        <v>30</v>
      </c>
      <c r="I3" t="s">
        <v>31</v>
      </c>
      <c r="J3" t="s">
        <v>32</v>
      </c>
      <c r="K3" t="s">
        <v>33</v>
      </c>
      <c r="L3" t="s">
        <v>34</v>
      </c>
      <c r="M3" t="s">
        <v>35</v>
      </c>
      <c r="N3" t="b">
        <v>0</v>
      </c>
      <c r="O3">
        <v>3.5</v>
      </c>
      <c r="P3">
        <v>31.76</v>
      </c>
      <c r="Q3">
        <v>27.16</v>
      </c>
      <c r="R3">
        <v>-5.9</v>
      </c>
      <c r="S3">
        <v>14.25</v>
      </c>
      <c r="T3">
        <v>28.7</v>
      </c>
      <c r="U3">
        <v>84.09</v>
      </c>
      <c r="V3">
        <v>76.77</v>
      </c>
      <c r="W3">
        <v>-10.75</v>
      </c>
      <c r="X3">
        <v>3.06</v>
      </c>
      <c r="Y3">
        <v>-56.93</v>
      </c>
      <c r="Z3">
        <v>-82.67</v>
      </c>
      <c r="AA3" t="str">
        <f t="shared" ref="AA3:AA66" si="0">C3&amp;L3</f>
        <v>FIRST_MENTION_WITH_TICKERSCONSTRUCTED</v>
      </c>
      <c r="AC3" t="s">
        <v>360</v>
      </c>
      <c r="AF3" t="str">
        <v>FIRST_MENTION_WITH_TICKERS</v>
      </c>
      <c r="AG3" s="2">
        <f>AVERAGEIF($C:$C,$AF3,O:O)</f>
        <v>3.9874193548387091</v>
      </c>
      <c r="AH3" s="2">
        <f>AVERAGEIF($C:$C,$AF3,P:P)</f>
        <v>7.5385714285714283</v>
      </c>
      <c r="AI3" s="2">
        <f>AVERAGEIF($C:$C,$AF3,Q:Q)</f>
        <v>26.958421052631575</v>
      </c>
      <c r="AJ3" s="2">
        <f>AVERAGEIF($C:$C,$AF3,R:R)</f>
        <v>54.809374999999996</v>
      </c>
      <c r="AK3" s="2">
        <f>AVERAGEIF($C:$C,$AF3,S:S)</f>
        <v>4.7202702702702712</v>
      </c>
      <c r="AL3" s="2">
        <f>AVERAGEIF($C:$C,$AF3,T:T)</f>
        <v>8.2588235294117656</v>
      </c>
      <c r="AM3" s="2">
        <f>AVERAGEIF($C:$C,$AF3,U:U)</f>
        <v>28.808800000000005</v>
      </c>
      <c r="AN3" s="2">
        <f>AVERAGEIF($C:$C,$AF3,V:V)</f>
        <v>71.933809523809515</v>
      </c>
      <c r="AO3" s="2">
        <f>AVERAGEIF($C:$C,$AF3,W:W)</f>
        <v>-1.2564516129032264</v>
      </c>
      <c r="AP3" s="2">
        <f>AVERAGEIF($C:$C,$AF3,X:X)</f>
        <v>-2.2192857142857143</v>
      </c>
      <c r="AQ3" s="2">
        <f>AVERAGEIF($C:$C,$AF3,Y:Y)</f>
        <v>-2.1142105263157909</v>
      </c>
      <c r="AR3" s="2">
        <f>AVERAGEIF($C:$C,$AF3,Z:Z)</f>
        <v>-14.785000000000002</v>
      </c>
      <c r="AS3" s="2"/>
      <c r="AT3" s="2">
        <f>COUNTIF(C:C,AF3)</f>
        <v>38</v>
      </c>
    </row>
    <row r="4" spans="1:46" x14ac:dyDescent="0.2">
      <c r="A4" s="1">
        <v>43958</v>
      </c>
      <c r="B4" t="s">
        <v>37</v>
      </c>
      <c r="C4" t="s">
        <v>38</v>
      </c>
      <c r="D4" t="s">
        <v>39</v>
      </c>
      <c r="E4">
        <v>1</v>
      </c>
      <c r="F4">
        <v>6</v>
      </c>
      <c r="G4" t="s">
        <v>29</v>
      </c>
      <c r="H4" t="s">
        <v>40</v>
      </c>
      <c r="I4" t="s">
        <v>41</v>
      </c>
      <c r="J4" t="s">
        <v>42</v>
      </c>
      <c r="K4" t="s">
        <v>43</v>
      </c>
      <c r="L4" t="s">
        <v>43</v>
      </c>
      <c r="M4" t="s">
        <v>35</v>
      </c>
      <c r="N4" t="b">
        <v>0</v>
      </c>
      <c r="O4" t="s">
        <v>43</v>
      </c>
      <c r="P4" t="s">
        <v>43</v>
      </c>
      <c r="Q4" t="s">
        <v>43</v>
      </c>
      <c r="R4" t="s">
        <v>43</v>
      </c>
      <c r="S4">
        <v>14.25</v>
      </c>
      <c r="T4">
        <v>28.7</v>
      </c>
      <c r="U4">
        <v>84.09</v>
      </c>
      <c r="V4">
        <v>76.77</v>
      </c>
      <c r="W4" t="s">
        <v>43</v>
      </c>
      <c r="X4" t="s">
        <v>43</v>
      </c>
      <c r="Y4" t="s">
        <v>43</v>
      </c>
      <c r="Z4" t="s">
        <v>43</v>
      </c>
      <c r="AA4" t="str">
        <f t="shared" si="0"/>
        <v>FIRST_MENTIONNO_BASKET</v>
      </c>
      <c r="AF4" t="str">
        <v>FIRST_MENTION</v>
      </c>
      <c r="AG4" s="2">
        <f>AVERAGEIF($C:$C,$AF4,O:O)</f>
        <v>6.9485714285714284</v>
      </c>
      <c r="AH4" s="2">
        <f>AVERAGEIF($C:$C,$AF4,P:P)</f>
        <v>7.2871428571428565</v>
      </c>
      <c r="AI4" s="2">
        <f>AVERAGEIF($C:$C,$AF4,Q:Q)</f>
        <v>101.22000000000001</v>
      </c>
      <c r="AJ4" s="2">
        <f>AVERAGEIF($C:$C,$AF4,R:R)</f>
        <v>378.76249999999999</v>
      </c>
      <c r="AK4" s="2">
        <f>AVERAGEIF($C:$C,$AF4,S:S)</f>
        <v>5.7963636363636359</v>
      </c>
      <c r="AL4" s="2">
        <f>AVERAGEIF($C:$C,$AF4,T:T)</f>
        <v>7.334545454545454</v>
      </c>
      <c r="AM4" s="2">
        <f>AVERAGEIF($C:$C,$AF4,U:U)</f>
        <v>38.231111111111112</v>
      </c>
      <c r="AN4" s="2">
        <f>AVERAGEIF($C:$C,$AF4,V:V)</f>
        <v>92.1</v>
      </c>
      <c r="AO4" s="2">
        <f>AVERAGEIF($C:$C,$AF4,W:W)</f>
        <v>2.2614285714285711</v>
      </c>
      <c r="AP4" s="2">
        <f>AVERAGEIF($C:$C,$AF4,X:X)</f>
        <v>1.2771428571428571</v>
      </c>
      <c r="AQ4" s="2">
        <f>AVERAGEIF($C:$C,$AF4,Y:Y)</f>
        <v>83.748000000000005</v>
      </c>
      <c r="AR4" s="2">
        <f>AVERAGEIF($C:$C,$AF4,Z:Z)</f>
        <v>287.63499999999999</v>
      </c>
      <c r="AS4" s="2"/>
      <c r="AT4" s="2">
        <f>COUNTIF(C:C,AF4)</f>
        <v>11</v>
      </c>
    </row>
    <row r="5" spans="1:46" x14ac:dyDescent="0.2">
      <c r="A5" s="1">
        <v>43958</v>
      </c>
      <c r="B5" t="s">
        <v>37</v>
      </c>
      <c r="C5" t="s">
        <v>36</v>
      </c>
      <c r="D5" t="s">
        <v>39</v>
      </c>
      <c r="E5">
        <v>1</v>
      </c>
      <c r="F5">
        <v>6</v>
      </c>
      <c r="G5" t="s">
        <v>29</v>
      </c>
      <c r="H5" t="s">
        <v>40</v>
      </c>
      <c r="I5" t="s">
        <v>41</v>
      </c>
      <c r="J5" t="s">
        <v>42</v>
      </c>
      <c r="K5" t="s">
        <v>43</v>
      </c>
      <c r="L5" t="s">
        <v>43</v>
      </c>
      <c r="M5" t="s">
        <v>35</v>
      </c>
      <c r="N5" t="b">
        <v>0</v>
      </c>
      <c r="O5" t="s">
        <v>43</v>
      </c>
      <c r="P5" t="s">
        <v>43</v>
      </c>
      <c r="Q5" t="s">
        <v>43</v>
      </c>
      <c r="R5" t="s">
        <v>43</v>
      </c>
      <c r="S5">
        <v>14.25</v>
      </c>
      <c r="T5">
        <v>28.7</v>
      </c>
      <c r="U5">
        <v>84.09</v>
      </c>
      <c r="V5">
        <v>76.77</v>
      </c>
      <c r="W5" t="s">
        <v>43</v>
      </c>
      <c r="X5" t="s">
        <v>43</v>
      </c>
      <c r="Y5" t="s">
        <v>43</v>
      </c>
      <c r="Z5" t="s">
        <v>43</v>
      </c>
      <c r="AA5" t="str">
        <f t="shared" si="0"/>
        <v>FIRST_MENTION_WITH_TICKERSNO_BASKET</v>
      </c>
      <c r="AF5" t="str">
        <v>THESIS_REVERSAL</v>
      </c>
      <c r="AG5" s="2">
        <f>AVERAGEIF($C:$C,$AF5,O:O)</f>
        <v>4.0111111111111128</v>
      </c>
      <c r="AH5" s="2">
        <f>AVERAGEIF($C:$C,$AF5,P:P)</f>
        <v>20.943333333333335</v>
      </c>
      <c r="AI5" s="2">
        <f>AVERAGEIF($C:$C,$AF5,Q:Q)</f>
        <v>216.65250000000003</v>
      </c>
      <c r="AJ5" s="2">
        <f>AVERAGEIF($C:$C,$AF5,R:R)</f>
        <v>512.84249999999997</v>
      </c>
      <c r="AK5" s="2">
        <f>AVERAGEIF($C:$C,$AF5,S:S)</f>
        <v>5.7859999999999996</v>
      </c>
      <c r="AL5" s="2">
        <f>AVERAGEIF($C:$C,$AF5,T:T)</f>
        <v>-0.26142857142857195</v>
      </c>
      <c r="AM5" s="2">
        <f>AVERAGEIF($C:$C,$AF5,U:U)</f>
        <v>24.623999999999999</v>
      </c>
      <c r="AN5" s="2">
        <f>AVERAGEIF($C:$C,$AF5,V:V)</f>
        <v>101.285</v>
      </c>
      <c r="AO5" s="2">
        <f>AVERAGEIF($C:$C,$AF5,W:W)</f>
        <v>-2.3188888888888886</v>
      </c>
      <c r="AP5" s="2">
        <f>AVERAGEIF($C:$C,$AF5,X:X)</f>
        <v>19.52</v>
      </c>
      <c r="AQ5" s="2">
        <f>AVERAGEIF($C:$C,$AF5,Y:Y)</f>
        <v>198.7225</v>
      </c>
      <c r="AR5" s="2">
        <f>AVERAGEIF($C:$C,$AF5,Z:Z)</f>
        <v>411.5575</v>
      </c>
      <c r="AS5" s="2"/>
      <c r="AT5" s="2">
        <f>COUNTIF(C:C,AF5)</f>
        <v>11</v>
      </c>
    </row>
    <row r="6" spans="1:46" x14ac:dyDescent="0.2">
      <c r="A6" s="1">
        <v>44039</v>
      </c>
      <c r="B6" t="s">
        <v>44</v>
      </c>
      <c r="C6" t="s">
        <v>27</v>
      </c>
      <c r="D6" t="s">
        <v>28</v>
      </c>
      <c r="E6">
        <v>1</v>
      </c>
      <c r="F6">
        <v>2</v>
      </c>
      <c r="G6" t="s">
        <v>45</v>
      </c>
      <c r="H6" t="s">
        <v>46</v>
      </c>
      <c r="I6" t="s">
        <v>47</v>
      </c>
      <c r="J6" t="s">
        <v>48</v>
      </c>
      <c r="K6" t="s">
        <v>48</v>
      </c>
      <c r="L6" t="s">
        <v>49</v>
      </c>
      <c r="M6" t="s">
        <v>35</v>
      </c>
      <c r="N6" t="b">
        <v>0</v>
      </c>
      <c r="O6">
        <v>-0.25</v>
      </c>
      <c r="P6">
        <v>-0.84</v>
      </c>
      <c r="Q6">
        <v>96.62</v>
      </c>
      <c r="R6">
        <v>45.4</v>
      </c>
      <c r="S6">
        <v>5.12</v>
      </c>
      <c r="T6">
        <v>10.92</v>
      </c>
      <c r="U6">
        <v>53.26</v>
      </c>
      <c r="V6">
        <v>41.8</v>
      </c>
      <c r="W6">
        <v>-5.37</v>
      </c>
      <c r="X6">
        <v>-11.76</v>
      </c>
      <c r="Y6">
        <v>43.36</v>
      </c>
      <c r="Z6">
        <v>3.6</v>
      </c>
      <c r="AA6" t="str">
        <f t="shared" si="0"/>
        <v>FIRST_MENTION_AND_HCBAKER_NAMED</v>
      </c>
      <c r="AF6" t="str">
        <v>HC_HIGH_PROFILE_VENUE</v>
      </c>
      <c r="AG6" s="2">
        <f>AVERAGEIF($C:$C,$AF6,O:O)</f>
        <v>8.1763636363636358</v>
      </c>
      <c r="AH6" s="2">
        <f>AVERAGEIF($C:$C,$AF6,P:P)</f>
        <v>8.3671428571428574</v>
      </c>
      <c r="AI6" s="2">
        <f>AVERAGEIF($C:$C,$AF6,Q:Q)</f>
        <v>297.97142857142859</v>
      </c>
      <c r="AJ6" s="2">
        <f>AVERAGEIF($C:$C,$AF6,R:R)</f>
        <v>132.744</v>
      </c>
      <c r="AK6" s="2">
        <f>AVERAGEIF($C:$C,$AF6,S:S)</f>
        <v>12.254615384615384</v>
      </c>
      <c r="AL6" s="2">
        <f>AVERAGEIF($C:$C,$AF6,T:T)</f>
        <v>24.172499999999996</v>
      </c>
      <c r="AM6" s="2">
        <f>AVERAGEIF($C:$C,$AF6,U:U)</f>
        <v>71.122500000000002</v>
      </c>
      <c r="AN6" s="2">
        <f>AVERAGEIF($C:$C,$AF6,V:V)</f>
        <v>104.75</v>
      </c>
      <c r="AO6" s="2">
        <f>AVERAGEIF($C:$C,$AF6,W:W)</f>
        <v>-4.0954545454545448</v>
      </c>
      <c r="AP6" s="2">
        <f>AVERAGEIF($C:$C,$AF6,X:X)</f>
        <v>-15.721428571428573</v>
      </c>
      <c r="AQ6" s="2">
        <f>AVERAGEIF($C:$C,$AF6,Y:Y)</f>
        <v>223.00857142857143</v>
      </c>
      <c r="AR6" s="2">
        <f>AVERAGEIF($C:$C,$AF6,Z:Z)</f>
        <v>31.817999999999994</v>
      </c>
      <c r="AS6" s="2"/>
      <c r="AT6" s="2">
        <f>COUNTIF(C:C,AF6)</f>
        <v>13</v>
      </c>
    </row>
    <row r="7" spans="1:46" x14ac:dyDescent="0.2">
      <c r="A7" s="1">
        <v>44039</v>
      </c>
      <c r="B7" t="s">
        <v>44</v>
      </c>
      <c r="C7" t="s">
        <v>36</v>
      </c>
      <c r="D7" t="s">
        <v>28</v>
      </c>
      <c r="E7">
        <v>1</v>
      </c>
      <c r="F7">
        <v>2</v>
      </c>
      <c r="G7" t="s">
        <v>45</v>
      </c>
      <c r="H7" t="s">
        <v>46</v>
      </c>
      <c r="I7" t="s">
        <v>47</v>
      </c>
      <c r="J7" t="s">
        <v>48</v>
      </c>
      <c r="K7" t="s">
        <v>48</v>
      </c>
      <c r="L7" t="s">
        <v>49</v>
      </c>
      <c r="M7" t="s">
        <v>35</v>
      </c>
      <c r="N7" t="b">
        <v>0</v>
      </c>
      <c r="O7">
        <v>-0.25</v>
      </c>
      <c r="P7">
        <v>-0.84</v>
      </c>
      <c r="Q7">
        <v>96.62</v>
      </c>
      <c r="R7">
        <v>45.4</v>
      </c>
      <c r="S7">
        <v>5.12</v>
      </c>
      <c r="T7">
        <v>10.92</v>
      </c>
      <c r="U7">
        <v>53.26</v>
      </c>
      <c r="V7">
        <v>41.8</v>
      </c>
      <c r="W7">
        <v>-5.37</v>
      </c>
      <c r="X7">
        <v>-11.76</v>
      </c>
      <c r="Y7">
        <v>43.36</v>
      </c>
      <c r="Z7">
        <v>3.6</v>
      </c>
      <c r="AA7" t="str">
        <f t="shared" si="0"/>
        <v>FIRST_MENTION_WITH_TICKERSBAKER_NAMED</v>
      </c>
      <c r="AF7" t="str">
        <v>FIRST_HC_NOT_FIRST_MENTION</v>
      </c>
      <c r="AG7" s="2">
        <f>AVERAGEIF($C:$C,$AF7,O:O)</f>
        <v>3.8766666666666669</v>
      </c>
      <c r="AH7" s="2">
        <f>AVERAGEIF($C:$C,$AF7,P:P)</f>
        <v>16.646000000000001</v>
      </c>
      <c r="AI7" s="2">
        <f>AVERAGEIF($C:$C,$AF7,Q:Q)</f>
        <v>32.43666666666666</v>
      </c>
      <c r="AJ7" s="2">
        <f>AVERAGEIF($C:$C,$AF7,R:R)</f>
        <v>175.97500000000002</v>
      </c>
      <c r="AK7" s="2">
        <f>AVERAGEIF($C:$C,$AF7,S:S)</f>
        <v>3.5671428571428576</v>
      </c>
      <c r="AL7" s="2">
        <f>AVERAGEIF($C:$C,$AF7,T:T)</f>
        <v>9.2816666666666663</v>
      </c>
      <c r="AM7" s="2">
        <f>AVERAGEIF($C:$C,$AF7,U:U)</f>
        <v>13.762499999999999</v>
      </c>
      <c r="AN7" s="2">
        <f>AVERAGEIF($C:$C,$AF7,V:V)</f>
        <v>78.213333333333324</v>
      </c>
      <c r="AO7" s="2">
        <f>AVERAGEIF($C:$C,$AF7,W:W)</f>
        <v>0.90666666666666662</v>
      </c>
      <c r="AP7" s="2">
        <f>AVERAGEIF($C:$C,$AF7,X:X)</f>
        <v>8.5240000000000009</v>
      </c>
      <c r="AQ7" s="2">
        <f>AVERAGEIF($C:$C,$AF7,Y:Y)</f>
        <v>22.953333333333333</v>
      </c>
      <c r="AR7" s="2">
        <f>AVERAGEIF($C:$C,$AF7,Z:Z)</f>
        <v>110.30500000000001</v>
      </c>
      <c r="AS7" s="2"/>
      <c r="AT7" s="2">
        <f>COUNTIF(C:C,AF7)</f>
        <v>7</v>
      </c>
    </row>
    <row r="8" spans="1:46" x14ac:dyDescent="0.2">
      <c r="A8" s="1">
        <v>44039</v>
      </c>
      <c r="B8" t="s">
        <v>50</v>
      </c>
      <c r="C8" t="s">
        <v>27</v>
      </c>
      <c r="D8" t="s">
        <v>28</v>
      </c>
      <c r="E8">
        <v>1</v>
      </c>
      <c r="F8">
        <v>7</v>
      </c>
      <c r="G8" t="s">
        <v>45</v>
      </c>
      <c r="H8" t="s">
        <v>51</v>
      </c>
      <c r="I8" t="s">
        <v>52</v>
      </c>
      <c r="K8" t="s">
        <v>53</v>
      </c>
      <c r="L8" t="s">
        <v>54</v>
      </c>
      <c r="M8" t="s">
        <v>35</v>
      </c>
      <c r="N8" t="b">
        <v>0</v>
      </c>
      <c r="O8">
        <v>5.12</v>
      </c>
      <c r="P8">
        <v>10.92</v>
      </c>
      <c r="Q8">
        <v>53.26</v>
      </c>
      <c r="R8">
        <v>41.8</v>
      </c>
      <c r="S8">
        <v>5.12</v>
      </c>
      <c r="T8">
        <v>10.92</v>
      </c>
      <c r="U8">
        <v>53.26</v>
      </c>
      <c r="V8">
        <v>41.8</v>
      </c>
      <c r="W8">
        <v>0</v>
      </c>
      <c r="X8">
        <v>0</v>
      </c>
      <c r="Y8">
        <v>0</v>
      </c>
      <c r="Z8">
        <v>0</v>
      </c>
      <c r="AA8" t="str">
        <f t="shared" si="0"/>
        <v>FIRST_MENTION_AND_HCOBVIOUS_UNIVERSE</v>
      </c>
      <c r="AF8" t="str">
        <v>THIRD_MENTION_WITHIN_1YR</v>
      </c>
      <c r="AG8" s="2">
        <f>AVERAGEIF($C:$C,$AF8,O:O)</f>
        <v>-1.3733333333333331</v>
      </c>
      <c r="AH8" s="2">
        <f>AVERAGEIF($C:$C,$AF8,P:P)</f>
        <v>-5.2700000000000005</v>
      </c>
      <c r="AI8" s="2">
        <f>AVERAGEIF($C:$C,$AF8,Q:Q)</f>
        <v>58.096666666666671</v>
      </c>
      <c r="AJ8" s="2" t="e">
        <f>AVERAGEIF($C:$C,$AF8,R:R)</f>
        <v>#DIV/0!</v>
      </c>
      <c r="AK8" s="2">
        <f>AVERAGEIF($C:$C,$AF8,S:S)</f>
        <v>5.8528571428571423</v>
      </c>
      <c r="AL8" s="2">
        <f>AVERAGEIF($C:$C,$AF8,T:T)</f>
        <v>-13.287500000000001</v>
      </c>
      <c r="AM8" s="2">
        <f>AVERAGEIF($C:$C,$AF8,U:U)</f>
        <v>28.94</v>
      </c>
      <c r="AN8" s="2" t="e">
        <f>AVERAGEIF($C:$C,$AF8,V:V)</f>
        <v>#DIV/0!</v>
      </c>
      <c r="AO8" s="2">
        <f>AVERAGEIF($C:$C,$AF8,W:W)</f>
        <v>-9.0966666666666658</v>
      </c>
      <c r="AP8" s="2">
        <f>AVERAGEIF($C:$C,$AF8,X:X)</f>
        <v>10.459999999999999</v>
      </c>
      <c r="AQ8" s="2">
        <f>AVERAGEIF($C:$C,$AF8,Y:Y)</f>
        <v>22.55</v>
      </c>
      <c r="AR8" s="2" t="e">
        <f>AVERAGEIF($C:$C,$AF8,Z:Z)</f>
        <v>#DIV/0!</v>
      </c>
      <c r="AS8" s="2"/>
      <c r="AT8" s="2">
        <f>COUNTIF(C:C,AF8)</f>
        <v>7</v>
      </c>
    </row>
    <row r="9" spans="1:46" x14ac:dyDescent="0.2">
      <c r="A9" s="1">
        <v>44039</v>
      </c>
      <c r="B9" t="s">
        <v>50</v>
      </c>
      <c r="C9" t="s">
        <v>36</v>
      </c>
      <c r="D9" t="s">
        <v>28</v>
      </c>
      <c r="E9">
        <v>1</v>
      </c>
      <c r="F9">
        <v>7</v>
      </c>
      <c r="G9" t="s">
        <v>45</v>
      </c>
      <c r="H9" t="s">
        <v>55</v>
      </c>
      <c r="I9" t="s">
        <v>56</v>
      </c>
      <c r="J9" t="s">
        <v>57</v>
      </c>
      <c r="K9" t="s">
        <v>53</v>
      </c>
      <c r="L9" t="s">
        <v>54</v>
      </c>
      <c r="M9" t="s">
        <v>35</v>
      </c>
      <c r="N9" t="b">
        <v>0</v>
      </c>
      <c r="O9">
        <v>5.12</v>
      </c>
      <c r="P9">
        <v>10.92</v>
      </c>
      <c r="Q9">
        <v>53.26</v>
      </c>
      <c r="R9">
        <v>41.8</v>
      </c>
      <c r="S9">
        <v>5.12</v>
      </c>
      <c r="T9">
        <v>10.92</v>
      </c>
      <c r="U9">
        <v>53.26</v>
      </c>
      <c r="V9">
        <v>41.8</v>
      </c>
      <c r="W9">
        <v>0</v>
      </c>
      <c r="X9">
        <v>0</v>
      </c>
      <c r="Y9">
        <v>0</v>
      </c>
      <c r="Z9">
        <v>0</v>
      </c>
      <c r="AA9" t="str">
        <f t="shared" si="0"/>
        <v>FIRST_MENTION_WITH_TICKERSOBVIOUS_UNIVERSE</v>
      </c>
    </row>
    <row r="10" spans="1:46" x14ac:dyDescent="0.2">
      <c r="A10" s="1">
        <v>44039</v>
      </c>
      <c r="B10" t="s">
        <v>58</v>
      </c>
      <c r="C10" t="s">
        <v>27</v>
      </c>
      <c r="D10" t="s">
        <v>28</v>
      </c>
      <c r="E10">
        <v>1</v>
      </c>
      <c r="F10">
        <v>11</v>
      </c>
      <c r="G10" t="s">
        <v>45</v>
      </c>
      <c r="H10" t="s">
        <v>51</v>
      </c>
      <c r="I10" t="s">
        <v>52</v>
      </c>
      <c r="K10" t="s">
        <v>59</v>
      </c>
      <c r="L10" t="s">
        <v>54</v>
      </c>
      <c r="M10" t="s">
        <v>35</v>
      </c>
      <c r="N10" t="b">
        <v>0</v>
      </c>
      <c r="O10">
        <v>-12.58</v>
      </c>
      <c r="P10">
        <v>2.44</v>
      </c>
      <c r="Q10">
        <v>43.86</v>
      </c>
      <c r="R10">
        <v>20.66</v>
      </c>
      <c r="S10">
        <v>5.12</v>
      </c>
      <c r="T10">
        <v>10.92</v>
      </c>
      <c r="U10">
        <v>53.26</v>
      </c>
      <c r="V10">
        <v>41.8</v>
      </c>
      <c r="W10">
        <v>-17.7</v>
      </c>
      <c r="X10">
        <v>-8.4700000000000006</v>
      </c>
      <c r="Y10">
        <v>-9.39</v>
      </c>
      <c r="Z10">
        <v>-21.14</v>
      </c>
      <c r="AA10" t="str">
        <f t="shared" si="0"/>
        <v>FIRST_MENTION_AND_HCOBVIOUS_UNIVERSE</v>
      </c>
      <c r="AB10" t="s">
        <v>351</v>
      </c>
      <c r="AC10" t="s">
        <v>53</v>
      </c>
    </row>
    <row r="11" spans="1:46" x14ac:dyDescent="0.2">
      <c r="A11" s="1">
        <v>44039</v>
      </c>
      <c r="B11" t="s">
        <v>60</v>
      </c>
      <c r="C11" t="s">
        <v>27</v>
      </c>
      <c r="D11" t="s">
        <v>28</v>
      </c>
      <c r="E11">
        <v>1</v>
      </c>
      <c r="F11">
        <v>2</v>
      </c>
      <c r="G11" t="s">
        <v>45</v>
      </c>
      <c r="H11" t="s">
        <v>61</v>
      </c>
      <c r="I11" t="s">
        <v>62</v>
      </c>
      <c r="J11" t="s">
        <v>63</v>
      </c>
      <c r="K11" t="s">
        <v>64</v>
      </c>
      <c r="L11" t="s">
        <v>49</v>
      </c>
      <c r="M11" t="s">
        <v>65</v>
      </c>
      <c r="N11" t="b">
        <v>0</v>
      </c>
      <c r="O11">
        <v>-0.39</v>
      </c>
      <c r="P11">
        <v>2.1</v>
      </c>
      <c r="Q11">
        <v>-10.130000000000001</v>
      </c>
      <c r="R11">
        <v>14.36</v>
      </c>
      <c r="S11">
        <v>5.12</v>
      </c>
      <c r="T11">
        <v>10.92</v>
      </c>
      <c r="U11">
        <v>53.26</v>
      </c>
      <c r="V11">
        <v>41.8</v>
      </c>
      <c r="W11">
        <v>-5.51</v>
      </c>
      <c r="X11">
        <v>-8.81</v>
      </c>
      <c r="Y11">
        <v>-63.39</v>
      </c>
      <c r="Z11">
        <v>-27.44</v>
      </c>
      <c r="AA11" t="str">
        <f t="shared" si="0"/>
        <v>FIRST_MENTION_AND_HCBAKER_NAMED</v>
      </c>
    </row>
    <row r="12" spans="1:46" x14ac:dyDescent="0.2">
      <c r="A12" s="1">
        <v>44039</v>
      </c>
      <c r="B12" t="s">
        <v>60</v>
      </c>
      <c r="C12" t="s">
        <v>36</v>
      </c>
      <c r="D12" t="s">
        <v>28</v>
      </c>
      <c r="E12">
        <v>1</v>
      </c>
      <c r="F12">
        <v>2</v>
      </c>
      <c r="G12" t="s">
        <v>45</v>
      </c>
      <c r="H12" t="s">
        <v>61</v>
      </c>
      <c r="I12" t="s">
        <v>62</v>
      </c>
      <c r="J12" t="s">
        <v>63</v>
      </c>
      <c r="K12" t="s">
        <v>64</v>
      </c>
      <c r="L12" t="s">
        <v>49</v>
      </c>
      <c r="M12" t="s">
        <v>65</v>
      </c>
      <c r="N12" t="b">
        <v>0</v>
      </c>
      <c r="O12">
        <v>-0.39</v>
      </c>
      <c r="P12">
        <v>2.1</v>
      </c>
      <c r="Q12">
        <v>-10.130000000000001</v>
      </c>
      <c r="R12">
        <v>14.36</v>
      </c>
      <c r="S12">
        <v>5.12</v>
      </c>
      <c r="T12">
        <v>10.92</v>
      </c>
      <c r="U12">
        <v>53.26</v>
      </c>
      <c r="V12">
        <v>41.8</v>
      </c>
      <c r="W12">
        <v>-5.51</v>
      </c>
      <c r="X12">
        <v>-8.81</v>
      </c>
      <c r="Y12">
        <v>-63.39</v>
      </c>
      <c r="Z12">
        <v>-27.44</v>
      </c>
      <c r="AA12" t="str">
        <f t="shared" si="0"/>
        <v>FIRST_MENTION_WITH_TICKERSBAKER_NAMED</v>
      </c>
    </row>
    <row r="13" spans="1:46" x14ac:dyDescent="0.2">
      <c r="A13" s="1">
        <v>44039</v>
      </c>
      <c r="B13" t="s">
        <v>60</v>
      </c>
      <c r="C13" t="s">
        <v>66</v>
      </c>
      <c r="D13" t="s">
        <v>28</v>
      </c>
      <c r="E13">
        <v>1</v>
      </c>
      <c r="F13">
        <v>2</v>
      </c>
      <c r="G13" t="s">
        <v>45</v>
      </c>
      <c r="H13" t="s">
        <v>61</v>
      </c>
      <c r="I13" t="s">
        <v>62</v>
      </c>
      <c r="J13" t="s">
        <v>63</v>
      </c>
      <c r="K13" t="s">
        <v>64</v>
      </c>
      <c r="L13" t="s">
        <v>49</v>
      </c>
      <c r="M13" t="s">
        <v>65</v>
      </c>
      <c r="N13" t="b">
        <v>0</v>
      </c>
      <c r="O13">
        <v>-0.39</v>
      </c>
      <c r="P13">
        <v>2.1</v>
      </c>
      <c r="Q13">
        <v>-10.130000000000001</v>
      </c>
      <c r="R13">
        <v>14.36</v>
      </c>
      <c r="S13">
        <v>5.12</v>
      </c>
      <c r="T13">
        <v>10.92</v>
      </c>
      <c r="U13">
        <v>53.26</v>
      </c>
      <c r="V13">
        <v>41.8</v>
      </c>
      <c r="W13">
        <v>-5.51</v>
      </c>
      <c r="X13">
        <v>-8.81</v>
      </c>
      <c r="Y13">
        <v>-63.39</v>
      </c>
      <c r="Z13">
        <v>-27.44</v>
      </c>
      <c r="AA13" t="str">
        <f t="shared" si="0"/>
        <v>THESIS_REVERSALBAKER_NAMED</v>
      </c>
    </row>
    <row r="14" spans="1:46" x14ac:dyDescent="0.2">
      <c r="A14" s="1">
        <v>44039</v>
      </c>
      <c r="B14" t="s">
        <v>67</v>
      </c>
      <c r="C14" t="s">
        <v>27</v>
      </c>
      <c r="D14" t="s">
        <v>28</v>
      </c>
      <c r="E14">
        <v>1</v>
      </c>
      <c r="F14">
        <v>5</v>
      </c>
      <c r="G14" t="s">
        <v>45</v>
      </c>
      <c r="H14" t="s">
        <v>68</v>
      </c>
      <c r="I14" t="s">
        <v>69</v>
      </c>
      <c r="J14" t="s">
        <v>70</v>
      </c>
      <c r="K14" t="s">
        <v>70</v>
      </c>
      <c r="L14" t="s">
        <v>49</v>
      </c>
      <c r="M14" t="s">
        <v>35</v>
      </c>
      <c r="N14" t="b">
        <v>0</v>
      </c>
      <c r="O14">
        <v>22.34</v>
      </c>
      <c r="P14">
        <v>30.45</v>
      </c>
      <c r="Q14">
        <v>84.53</v>
      </c>
      <c r="R14">
        <v>71.02</v>
      </c>
      <c r="S14">
        <v>5.12</v>
      </c>
      <c r="T14">
        <v>10.92</v>
      </c>
      <c r="U14">
        <v>53.26</v>
      </c>
      <c r="V14">
        <v>41.8</v>
      </c>
      <c r="W14">
        <v>17.23</v>
      </c>
      <c r="X14">
        <v>19.53</v>
      </c>
      <c r="Y14">
        <v>31.27</v>
      </c>
      <c r="Z14">
        <v>29.22</v>
      </c>
      <c r="AA14" t="str">
        <f t="shared" si="0"/>
        <v>FIRST_MENTION_AND_HCBAKER_NAMED</v>
      </c>
    </row>
    <row r="15" spans="1:46" x14ac:dyDescent="0.2">
      <c r="A15" s="1">
        <v>44039</v>
      </c>
      <c r="B15" t="s">
        <v>67</v>
      </c>
      <c r="C15" t="s">
        <v>36</v>
      </c>
      <c r="D15" t="s">
        <v>28</v>
      </c>
      <c r="E15">
        <v>1</v>
      </c>
      <c r="F15">
        <v>5</v>
      </c>
      <c r="G15" t="s">
        <v>45</v>
      </c>
      <c r="H15" t="s">
        <v>68</v>
      </c>
      <c r="I15" t="s">
        <v>69</v>
      </c>
      <c r="J15" t="s">
        <v>70</v>
      </c>
      <c r="K15" t="s">
        <v>70</v>
      </c>
      <c r="L15" t="s">
        <v>49</v>
      </c>
      <c r="M15" t="s">
        <v>35</v>
      </c>
      <c r="N15" t="b">
        <v>0</v>
      </c>
      <c r="O15">
        <v>22.34</v>
      </c>
      <c r="P15">
        <v>30.45</v>
      </c>
      <c r="Q15">
        <v>84.53</v>
      </c>
      <c r="R15">
        <v>71.02</v>
      </c>
      <c r="S15">
        <v>5.12</v>
      </c>
      <c r="T15">
        <v>10.92</v>
      </c>
      <c r="U15">
        <v>53.26</v>
      </c>
      <c r="V15">
        <v>41.8</v>
      </c>
      <c r="W15">
        <v>17.23</v>
      </c>
      <c r="X15">
        <v>19.53</v>
      </c>
      <c r="Y15">
        <v>31.27</v>
      </c>
      <c r="Z15">
        <v>29.22</v>
      </c>
      <c r="AA15" t="str">
        <f t="shared" si="0"/>
        <v>FIRST_MENTION_WITH_TICKERSBAKER_NAMED</v>
      </c>
    </row>
    <row r="16" spans="1:46" x14ac:dyDescent="0.2">
      <c r="A16" s="1">
        <v>44150</v>
      </c>
      <c r="B16" t="s">
        <v>71</v>
      </c>
      <c r="C16" t="s">
        <v>27</v>
      </c>
      <c r="D16" t="s">
        <v>28</v>
      </c>
      <c r="E16">
        <v>1</v>
      </c>
      <c r="F16">
        <v>2</v>
      </c>
      <c r="G16" t="s">
        <v>72</v>
      </c>
      <c r="H16" t="s">
        <v>73</v>
      </c>
      <c r="I16" t="s">
        <v>74</v>
      </c>
      <c r="J16" t="s">
        <v>75</v>
      </c>
      <c r="K16" t="s">
        <v>75</v>
      </c>
      <c r="L16" t="s">
        <v>49</v>
      </c>
      <c r="M16" t="s">
        <v>35</v>
      </c>
      <c r="N16" t="b">
        <v>0</v>
      </c>
      <c r="O16">
        <v>4.37</v>
      </c>
      <c r="P16">
        <v>16.77</v>
      </c>
      <c r="Q16">
        <v>64.16</v>
      </c>
      <c r="R16">
        <v>-2.16</v>
      </c>
      <c r="S16">
        <v>8.0500000000000007</v>
      </c>
      <c r="T16">
        <v>24.04</v>
      </c>
      <c r="U16">
        <v>52.05</v>
      </c>
      <c r="V16">
        <v>9.15</v>
      </c>
      <c r="W16">
        <v>-3.68</v>
      </c>
      <c r="X16">
        <v>-7.27</v>
      </c>
      <c r="Y16">
        <v>12.11</v>
      </c>
      <c r="Z16">
        <v>-11.31</v>
      </c>
      <c r="AA16" t="str">
        <f t="shared" si="0"/>
        <v>FIRST_MENTION_AND_HCBAKER_NAMED</v>
      </c>
      <c r="AB16" t="s">
        <v>341</v>
      </c>
      <c r="AC16" t="s">
        <v>344</v>
      </c>
      <c r="AF16" t="str" cm="1">
        <f t="array" ref="AF16:AF44">_xlfn.UNIQUE(AA2:AA126)</f>
        <v>FIRST_MENTION_AND_HCCONSTRUCTED</v>
      </c>
      <c r="AG16" s="2">
        <f>AVERAGEIF($AA:$AA,$AF16,O:O)</f>
        <v>3.2133333333333334</v>
      </c>
      <c r="AH16" s="2">
        <f>AVERAGEIF($AA:$AA,$AF16,P:P)</f>
        <v>3.4500000000000015</v>
      </c>
      <c r="AI16" s="2">
        <f>AVERAGEIF($AA:$AA,$AF16,Q:Q)</f>
        <v>24.296666666666667</v>
      </c>
      <c r="AJ16" s="2">
        <f>AVERAGEIF($AA:$AA,$AF16,R:R)</f>
        <v>-18.045000000000002</v>
      </c>
      <c r="AK16" s="2">
        <f>AVERAGEIF($AA:$AA,$AF16,S:S)</f>
        <v>5.08</v>
      </c>
      <c r="AL16" s="2">
        <f>AVERAGEIF($AA:$AA,$AF16,T:T)</f>
        <v>4.6199999999999992</v>
      </c>
      <c r="AM16" s="2">
        <f>AVERAGEIF($AA:$AA,$AF16,U:U)</f>
        <v>70.83</v>
      </c>
      <c r="AN16" s="2">
        <f>AVERAGEIF($AA:$AA,$AF16,V:V)</f>
        <v>78.150000000000006</v>
      </c>
      <c r="AO16" s="2">
        <f>AVERAGEIF($AA:$AA,$AF16,W:W)</f>
        <v>-1.8633333333333333</v>
      </c>
      <c r="AP16" s="2">
        <f>AVERAGEIF($AA:$AA,$AF16,X:X)</f>
        <v>-1.1666666666666667</v>
      </c>
      <c r="AQ16" s="2">
        <f>AVERAGEIF($AA:$AA,$AF16,Y:Y)</f>
        <v>-46.536666666666669</v>
      </c>
      <c r="AR16" s="2">
        <f>AVERAGEIF($AA:$AA,$AF16,Z:Z)</f>
        <v>-96.194999999999993</v>
      </c>
      <c r="AS16" s="2"/>
      <c r="AT16" s="2">
        <f>COUNTIF(AA:AA,AF16)</f>
        <v>3</v>
      </c>
    </row>
    <row r="17" spans="1:46" x14ac:dyDescent="0.2">
      <c r="A17" s="1">
        <v>44150</v>
      </c>
      <c r="B17" t="s">
        <v>71</v>
      </c>
      <c r="C17" t="s">
        <v>36</v>
      </c>
      <c r="D17" t="s">
        <v>28</v>
      </c>
      <c r="E17">
        <v>1</v>
      </c>
      <c r="F17">
        <v>2</v>
      </c>
      <c r="G17" t="s">
        <v>72</v>
      </c>
      <c r="H17" t="s">
        <v>73</v>
      </c>
      <c r="I17" t="s">
        <v>74</v>
      </c>
      <c r="J17" t="s">
        <v>75</v>
      </c>
      <c r="K17" t="s">
        <v>75</v>
      </c>
      <c r="L17" t="s">
        <v>49</v>
      </c>
      <c r="M17" t="s">
        <v>35</v>
      </c>
      <c r="N17" t="b">
        <v>0</v>
      </c>
      <c r="O17">
        <v>4.37</v>
      </c>
      <c r="P17">
        <v>16.77</v>
      </c>
      <c r="Q17">
        <v>64.16</v>
      </c>
      <c r="R17">
        <v>-2.16</v>
      </c>
      <c r="S17">
        <v>8.0500000000000007</v>
      </c>
      <c r="T17">
        <v>24.04</v>
      </c>
      <c r="U17">
        <v>52.05</v>
      </c>
      <c r="V17">
        <v>9.15</v>
      </c>
      <c r="W17">
        <v>-3.68</v>
      </c>
      <c r="X17">
        <v>-7.27</v>
      </c>
      <c r="Y17">
        <v>12.11</v>
      </c>
      <c r="Z17">
        <v>-11.31</v>
      </c>
      <c r="AA17" t="str">
        <f t="shared" si="0"/>
        <v>FIRST_MENTION_WITH_TICKERSBAKER_NAMED</v>
      </c>
      <c r="AB17" t="s">
        <v>341</v>
      </c>
      <c r="AC17" t="s">
        <v>344</v>
      </c>
      <c r="AF17" t="str">
        <v>FIRST_MENTION_WITH_TICKERSCONSTRUCTED</v>
      </c>
      <c r="AG17" s="2">
        <f>AVERAGEIF($AA:$AA,$AF17,O:O)</f>
        <v>-2.5933333333333333</v>
      </c>
      <c r="AH17" s="2">
        <f>AVERAGEIF($AA:$AA,$AF17,P:P)</f>
        <v>6.576666666666668</v>
      </c>
      <c r="AI17" s="2">
        <f>AVERAGEIF($AA:$AA,$AF17,Q:Q)</f>
        <v>4.93</v>
      </c>
      <c r="AJ17" s="2">
        <f>AVERAGEIF($AA:$AA,$AF17,R:R)</f>
        <v>8.8949999999999996</v>
      </c>
      <c r="AK17" s="2">
        <f>AVERAGEIF($AA:$AA,$AF17,S:S)</f>
        <v>11.923333333333334</v>
      </c>
      <c r="AL17" s="2">
        <f>AVERAGEIF($AA:$AA,$AF17,T:T)</f>
        <v>19.649999999999999</v>
      </c>
      <c r="AM17" s="2">
        <f>AVERAGEIF($AA:$AA,$AF17,U:U)</f>
        <v>64.16</v>
      </c>
      <c r="AN17" s="2">
        <f>AVERAGEIF($AA:$AA,$AF17,V:V)</f>
        <v>100.32</v>
      </c>
      <c r="AO17" s="2">
        <f>AVERAGEIF($AA:$AA,$AF17,W:W)</f>
        <v>-14.513333333333334</v>
      </c>
      <c r="AP17" s="2">
        <f>AVERAGEIF($AA:$AA,$AF17,X:X)</f>
        <v>-13.073333333333332</v>
      </c>
      <c r="AQ17" s="2">
        <f>AVERAGEIF($AA:$AA,$AF17,Y:Y)</f>
        <v>-59.230000000000004</v>
      </c>
      <c r="AR17" s="2">
        <f>AVERAGEIF($AA:$AA,$AF17,Z:Z)</f>
        <v>-91.425000000000011</v>
      </c>
      <c r="AS17" s="2"/>
      <c r="AT17" s="2">
        <f>COUNTIF(AA:AA,AF17)</f>
        <v>3</v>
      </c>
    </row>
    <row r="18" spans="1:46" x14ac:dyDescent="0.2">
      <c r="A18" s="1">
        <v>44150</v>
      </c>
      <c r="B18" t="s">
        <v>71</v>
      </c>
      <c r="C18" t="s">
        <v>76</v>
      </c>
      <c r="D18" t="s">
        <v>28</v>
      </c>
      <c r="E18">
        <v>1</v>
      </c>
      <c r="F18">
        <v>2</v>
      </c>
      <c r="G18" t="s">
        <v>72</v>
      </c>
      <c r="H18" t="s">
        <v>73</v>
      </c>
      <c r="I18" t="s">
        <v>74</v>
      </c>
      <c r="J18" t="s">
        <v>75</v>
      </c>
      <c r="K18" t="s">
        <v>75</v>
      </c>
      <c r="L18" t="s">
        <v>49</v>
      </c>
      <c r="M18" t="s">
        <v>35</v>
      </c>
      <c r="N18" t="b">
        <v>0</v>
      </c>
      <c r="O18">
        <v>4.37</v>
      </c>
      <c r="P18">
        <v>16.77</v>
      </c>
      <c r="Q18">
        <v>64.16</v>
      </c>
      <c r="R18">
        <v>-2.16</v>
      </c>
      <c r="S18">
        <v>8.0500000000000007</v>
      </c>
      <c r="T18">
        <v>24.04</v>
      </c>
      <c r="U18">
        <v>52.05</v>
      </c>
      <c r="V18">
        <v>9.15</v>
      </c>
      <c r="W18">
        <v>-3.68</v>
      </c>
      <c r="X18">
        <v>-7.27</v>
      </c>
      <c r="Y18">
        <v>12.11</v>
      </c>
      <c r="Z18">
        <v>-11.31</v>
      </c>
      <c r="AA18" t="str">
        <f t="shared" si="0"/>
        <v>HC_HIGH_PROFILE_VENUEBAKER_NAMED</v>
      </c>
      <c r="AB18" t="s">
        <v>341</v>
      </c>
      <c r="AC18" t="s">
        <v>344</v>
      </c>
      <c r="AF18" t="str">
        <v>FIRST_MENTIONNO_BASKET</v>
      </c>
      <c r="AG18" s="2" t="e">
        <f>AVERAGEIF($AA:$AA,$AF18,O:O)</f>
        <v>#DIV/0!</v>
      </c>
      <c r="AH18" s="2" t="e">
        <f>AVERAGEIF($AA:$AA,$AF18,P:P)</f>
        <v>#DIV/0!</v>
      </c>
      <c r="AI18" s="2" t="e">
        <f>AVERAGEIF($AA:$AA,$AF18,Q:Q)</f>
        <v>#DIV/0!</v>
      </c>
      <c r="AJ18" s="2" t="e">
        <f>AVERAGEIF($AA:$AA,$AF18,R:R)</f>
        <v>#DIV/0!</v>
      </c>
      <c r="AK18" s="2">
        <f>AVERAGEIF($AA:$AA,$AF18,S:S)</f>
        <v>7.7374999999999998</v>
      </c>
      <c r="AL18" s="2">
        <f>AVERAGEIF($AA:$AA,$AF18,T:T)</f>
        <v>9.6499999999999986</v>
      </c>
      <c r="AM18" s="2">
        <f>AVERAGEIF($AA:$AA,$AF18,U:U)</f>
        <v>64.180000000000007</v>
      </c>
      <c r="AN18" s="2">
        <f>AVERAGEIF($AA:$AA,$AF18,V:V)</f>
        <v>93.39</v>
      </c>
      <c r="AO18" s="2" t="e">
        <f>AVERAGEIF($AA:$AA,$AF18,W:W)</f>
        <v>#DIV/0!</v>
      </c>
      <c r="AP18" s="2" t="e">
        <f>AVERAGEIF($AA:$AA,$AF18,X:X)</f>
        <v>#DIV/0!</v>
      </c>
      <c r="AQ18" s="2" t="e">
        <f>AVERAGEIF($AA:$AA,$AF18,Y:Y)</f>
        <v>#DIV/0!</v>
      </c>
      <c r="AR18" s="2" t="e">
        <f>AVERAGEIF($AA:$AA,$AF18,Z:Z)</f>
        <v>#DIV/0!</v>
      </c>
      <c r="AS18" s="2"/>
      <c r="AT18" s="2">
        <f>COUNTIF(AA:AA,AF18)</f>
        <v>4</v>
      </c>
    </row>
    <row r="19" spans="1:46" x14ac:dyDescent="0.2">
      <c r="A19" s="1">
        <v>44501</v>
      </c>
      <c r="B19" t="s">
        <v>77</v>
      </c>
      <c r="C19" t="s">
        <v>27</v>
      </c>
      <c r="D19" t="s">
        <v>28</v>
      </c>
      <c r="E19">
        <v>1</v>
      </c>
      <c r="F19">
        <v>2</v>
      </c>
      <c r="G19" t="s">
        <v>78</v>
      </c>
      <c r="H19" t="s">
        <v>79</v>
      </c>
      <c r="I19" t="s">
        <v>80</v>
      </c>
      <c r="J19" t="s">
        <v>81</v>
      </c>
      <c r="K19" t="s">
        <v>81</v>
      </c>
      <c r="L19" t="s">
        <v>54</v>
      </c>
      <c r="M19" t="s">
        <v>65</v>
      </c>
      <c r="N19" t="b">
        <v>0</v>
      </c>
      <c r="O19">
        <v>8.76</v>
      </c>
      <c r="P19">
        <v>1.63</v>
      </c>
      <c r="Q19">
        <v>-2.92</v>
      </c>
      <c r="R19">
        <v>0.89</v>
      </c>
      <c r="S19">
        <v>9.77</v>
      </c>
      <c r="T19">
        <v>0.46</v>
      </c>
      <c r="U19">
        <v>-30.79</v>
      </c>
      <c r="V19">
        <v>7.34</v>
      </c>
      <c r="W19">
        <v>-1.01</v>
      </c>
      <c r="X19">
        <v>1.17</v>
      </c>
      <c r="Y19">
        <v>27.87</v>
      </c>
      <c r="Z19">
        <v>-6.46</v>
      </c>
      <c r="AA19" t="str">
        <f t="shared" si="0"/>
        <v>FIRST_MENTION_AND_HCOBVIOUS_UNIVERSE</v>
      </c>
      <c r="AF19" t="str">
        <v>FIRST_MENTION_WITH_TICKERSNO_BASKET</v>
      </c>
      <c r="AG19" s="2" t="e">
        <f>AVERAGEIF($AA:$AA,$AF19,O:O)</f>
        <v>#DIV/0!</v>
      </c>
      <c r="AH19" s="2" t="e">
        <f>AVERAGEIF($AA:$AA,$AF19,P:P)</f>
        <v>#DIV/0!</v>
      </c>
      <c r="AI19" s="2" t="e">
        <f>AVERAGEIF($AA:$AA,$AF19,Q:Q)</f>
        <v>#DIV/0!</v>
      </c>
      <c r="AJ19" s="2" t="e">
        <f>AVERAGEIF($AA:$AA,$AF19,R:R)</f>
        <v>#DIV/0!</v>
      </c>
      <c r="AK19" s="2">
        <f>AVERAGEIF($AA:$AA,$AF19,S:S)</f>
        <v>2.0099999999999998</v>
      </c>
      <c r="AL19" s="2">
        <f>AVERAGEIF($AA:$AA,$AF19,T:T)</f>
        <v>1.2566666666666664</v>
      </c>
      <c r="AM19" s="2">
        <f>AVERAGEIF($AA:$AA,$AF19,U:U)</f>
        <v>27.97666666666667</v>
      </c>
      <c r="AN19" s="2">
        <f>AVERAGEIF($AA:$AA,$AF19,V:V)</f>
        <v>79.418000000000006</v>
      </c>
      <c r="AO19" s="2" t="e">
        <f>AVERAGEIF($AA:$AA,$AF19,W:W)</f>
        <v>#DIV/0!</v>
      </c>
      <c r="AP19" s="2" t="e">
        <f>AVERAGEIF($AA:$AA,$AF19,X:X)</f>
        <v>#DIV/0!</v>
      </c>
      <c r="AQ19" s="2" t="e">
        <f>AVERAGEIF($AA:$AA,$AF19,Y:Y)</f>
        <v>#DIV/0!</v>
      </c>
      <c r="AR19" s="2" t="e">
        <f>AVERAGEIF($AA:$AA,$AF19,Z:Z)</f>
        <v>#DIV/0!</v>
      </c>
      <c r="AS19" s="2"/>
      <c r="AT19" s="2">
        <f>COUNTIF(AA:AA,AF19)</f>
        <v>7</v>
      </c>
    </row>
    <row r="20" spans="1:46" x14ac:dyDescent="0.2">
      <c r="A20" s="1">
        <v>44501</v>
      </c>
      <c r="B20" t="s">
        <v>77</v>
      </c>
      <c r="C20" t="s">
        <v>36</v>
      </c>
      <c r="D20" t="s">
        <v>28</v>
      </c>
      <c r="E20">
        <v>1</v>
      </c>
      <c r="F20">
        <v>2</v>
      </c>
      <c r="G20" t="s">
        <v>78</v>
      </c>
      <c r="H20" t="s">
        <v>79</v>
      </c>
      <c r="I20" t="s">
        <v>80</v>
      </c>
      <c r="J20" t="s">
        <v>81</v>
      </c>
      <c r="K20" t="s">
        <v>81</v>
      </c>
      <c r="L20" t="s">
        <v>54</v>
      </c>
      <c r="M20" t="s">
        <v>65</v>
      </c>
      <c r="N20" t="b">
        <v>0</v>
      </c>
      <c r="O20">
        <v>8.76</v>
      </c>
      <c r="P20">
        <v>1.63</v>
      </c>
      <c r="Q20">
        <v>-2.92</v>
      </c>
      <c r="R20">
        <v>0.89</v>
      </c>
      <c r="S20">
        <v>9.77</v>
      </c>
      <c r="T20">
        <v>0.46</v>
      </c>
      <c r="U20">
        <v>-30.79</v>
      </c>
      <c r="V20">
        <v>7.34</v>
      </c>
      <c r="W20">
        <v>-1.01</v>
      </c>
      <c r="X20">
        <v>1.17</v>
      </c>
      <c r="Y20">
        <v>27.87</v>
      </c>
      <c r="Z20">
        <v>-6.46</v>
      </c>
      <c r="AA20" t="str">
        <f t="shared" si="0"/>
        <v>FIRST_MENTION_WITH_TICKERSOBVIOUS_UNIVERSE</v>
      </c>
      <c r="AF20" t="str">
        <v>FIRST_MENTION_AND_HCBAKER_NAMED</v>
      </c>
      <c r="AG20" s="2">
        <f>AVERAGEIF($AA:$AA,$AF20,O:O)</f>
        <v>7.5754545454545452</v>
      </c>
      <c r="AH20" s="2">
        <f>AVERAGEIF($AA:$AA,$AF20,P:P)</f>
        <v>3.8390000000000009</v>
      </c>
      <c r="AI20" s="2">
        <f>AVERAGEIF($AA:$AA,$AF20,Q:Q)</f>
        <v>40.707499999999996</v>
      </c>
      <c r="AJ20" s="2">
        <f>AVERAGEIF($AA:$AA,$AF20,R:R)</f>
        <v>38.948571428571427</v>
      </c>
      <c r="AK20" s="2">
        <f>AVERAGEIF($AA:$AA,$AF20,S:S)</f>
        <v>5.206363636363637</v>
      </c>
      <c r="AL20" s="2">
        <f>AVERAGEIF($AA:$AA,$AF20,T:T)</f>
        <v>6.3389999999999995</v>
      </c>
      <c r="AM20" s="2">
        <f>AVERAGEIF($AA:$AA,$AF20,U:U)</f>
        <v>34.809999999999995</v>
      </c>
      <c r="AN20" s="2">
        <f>AVERAGEIF($AA:$AA,$AF20,V:V)</f>
        <v>56.558571428571426</v>
      </c>
      <c r="AO20" s="2">
        <f>AVERAGEIF($AA:$AA,$AF20,W:W)</f>
        <v>2.3690909090909091</v>
      </c>
      <c r="AP20" s="2">
        <f>AVERAGEIF($AA:$AA,$AF20,X:X)</f>
        <v>-2.4980000000000002</v>
      </c>
      <c r="AQ20" s="2">
        <f>AVERAGEIF($AA:$AA,$AF20,Y:Y)</f>
        <v>5.8950000000000005</v>
      </c>
      <c r="AR20" s="2">
        <f>AVERAGEIF($AA:$AA,$AF20,Z:Z)</f>
        <v>-17.610000000000003</v>
      </c>
      <c r="AS20" s="2"/>
      <c r="AT20" s="2">
        <f>COUNTIF(AA:AA,AF20)</f>
        <v>11</v>
      </c>
    </row>
    <row r="21" spans="1:46" x14ac:dyDescent="0.2">
      <c r="A21" s="1">
        <v>44501</v>
      </c>
      <c r="B21" t="s">
        <v>82</v>
      </c>
      <c r="C21" t="s">
        <v>38</v>
      </c>
      <c r="D21" t="s">
        <v>39</v>
      </c>
      <c r="E21">
        <v>1</v>
      </c>
      <c r="F21">
        <v>9</v>
      </c>
      <c r="G21" t="s">
        <v>78</v>
      </c>
      <c r="H21" t="s">
        <v>83</v>
      </c>
      <c r="I21" t="s">
        <v>84</v>
      </c>
      <c r="J21" t="s">
        <v>85</v>
      </c>
      <c r="K21" t="s">
        <v>85</v>
      </c>
      <c r="L21" t="s">
        <v>49</v>
      </c>
      <c r="M21" t="s">
        <v>65</v>
      </c>
      <c r="N21" t="b">
        <v>1</v>
      </c>
      <c r="O21">
        <v>7.55</v>
      </c>
      <c r="P21">
        <v>7.73</v>
      </c>
      <c r="Q21">
        <v>29.81</v>
      </c>
      <c r="R21">
        <v>66.790000000000006</v>
      </c>
      <c r="S21">
        <v>9.77</v>
      </c>
      <c r="T21">
        <v>0.46</v>
      </c>
      <c r="U21">
        <v>-30.79</v>
      </c>
      <c r="V21">
        <v>7.34</v>
      </c>
      <c r="W21">
        <v>-2.2200000000000002</v>
      </c>
      <c r="X21">
        <v>7.27</v>
      </c>
      <c r="Y21">
        <v>60.6</v>
      </c>
      <c r="Z21">
        <v>59.45</v>
      </c>
      <c r="AA21" t="str">
        <f t="shared" si="0"/>
        <v>FIRST_MENTIONBAKER_NAMED</v>
      </c>
      <c r="AF21" t="str">
        <v>FIRST_MENTION_WITH_TICKERSBAKER_NAMED</v>
      </c>
      <c r="AG21" s="2">
        <f>AVERAGEIF($AA:$AA,$AF21,O:O)</f>
        <v>8.2199999999999989</v>
      </c>
      <c r="AH21" s="2">
        <f>AVERAGEIF($AA:$AA,$AF21,P:P)</f>
        <v>5.806923076923078</v>
      </c>
      <c r="AI21" s="2">
        <f>AVERAGEIF($AA:$AA,$AF21,Q:Q)</f>
        <v>39.49666666666667</v>
      </c>
      <c r="AJ21" s="2">
        <f>AVERAGEIF($AA:$AA,$AF21,R:R)</f>
        <v>42.428750000000008</v>
      </c>
      <c r="AK21" s="2">
        <f>AVERAGEIF($AA:$AA,$AF21,S:S)</f>
        <v>5.4820000000000002</v>
      </c>
      <c r="AL21" s="2">
        <f>AVERAGEIF($AA:$AA,$AF21,T:T)</f>
        <v>7.483076923076923</v>
      </c>
      <c r="AM21" s="2">
        <f>AVERAGEIF($AA:$AA,$AF21,U:U)</f>
        <v>27.521111111111111</v>
      </c>
      <c r="AN21" s="2">
        <f>AVERAGEIF($AA:$AA,$AF21,V:V)</f>
        <v>50.40625</v>
      </c>
      <c r="AO21" s="2">
        <f>AVERAGEIF($AA:$AA,$AF21,W:W)</f>
        <v>2.738</v>
      </c>
      <c r="AP21" s="2">
        <f>AVERAGEIF($AA:$AA,$AF21,X:X)</f>
        <v>-1.6738461538461542</v>
      </c>
      <c r="AQ21" s="2">
        <f>AVERAGEIF($AA:$AA,$AF21,Y:Y)</f>
        <v>11.973333333333336</v>
      </c>
      <c r="AR21" s="2">
        <f>AVERAGEIF($AA:$AA,$AF21,Z:Z)</f>
        <v>-7.9775</v>
      </c>
      <c r="AS21" s="2"/>
      <c r="AT21" s="2">
        <f>COUNTIF(AA:AA,AF21)</f>
        <v>15</v>
      </c>
    </row>
    <row r="22" spans="1:46" x14ac:dyDescent="0.2">
      <c r="A22" s="1">
        <v>44501</v>
      </c>
      <c r="B22" t="s">
        <v>82</v>
      </c>
      <c r="C22" t="s">
        <v>36</v>
      </c>
      <c r="D22" t="s">
        <v>39</v>
      </c>
      <c r="E22">
        <v>1</v>
      </c>
      <c r="F22">
        <v>9</v>
      </c>
      <c r="G22" t="s">
        <v>78</v>
      </c>
      <c r="H22" t="s">
        <v>83</v>
      </c>
      <c r="I22" t="s">
        <v>84</v>
      </c>
      <c r="J22" t="s">
        <v>85</v>
      </c>
      <c r="K22" t="s">
        <v>85</v>
      </c>
      <c r="L22" t="s">
        <v>49</v>
      </c>
      <c r="M22" t="s">
        <v>65</v>
      </c>
      <c r="N22" t="b">
        <v>1</v>
      </c>
      <c r="O22">
        <v>7.55</v>
      </c>
      <c r="P22">
        <v>7.73</v>
      </c>
      <c r="Q22">
        <v>29.81</v>
      </c>
      <c r="R22">
        <v>66.790000000000006</v>
      </c>
      <c r="S22">
        <v>9.77</v>
      </c>
      <c r="T22">
        <v>0.46</v>
      </c>
      <c r="U22">
        <v>-30.79</v>
      </c>
      <c r="V22">
        <v>7.34</v>
      </c>
      <c r="W22">
        <v>-2.2200000000000002</v>
      </c>
      <c r="X22">
        <v>7.27</v>
      </c>
      <c r="Y22">
        <v>60.6</v>
      </c>
      <c r="Z22">
        <v>59.45</v>
      </c>
      <c r="AA22" t="str">
        <f t="shared" si="0"/>
        <v>FIRST_MENTION_WITH_TICKERSBAKER_NAMED</v>
      </c>
      <c r="AF22" t="str">
        <v>FIRST_MENTION_AND_HCOBVIOUS_UNIVERSE</v>
      </c>
      <c r="AG22" s="2">
        <f>AVERAGEIF($AA:$AA,$AF22,O:O)</f>
        <v>-0.54769230769230748</v>
      </c>
      <c r="AH22" s="2">
        <f>AVERAGEIF($AA:$AA,$AF22,P:P)</f>
        <v>0.33272727272727243</v>
      </c>
      <c r="AI22" s="2">
        <f>AVERAGEIF($AA:$AA,$AF22,Q:Q)</f>
        <v>9.7277777777777796</v>
      </c>
      <c r="AJ22" s="2">
        <f>AVERAGEIF($AA:$AA,$AF22,R:R)</f>
        <v>53.932500000000005</v>
      </c>
      <c r="AK22" s="2">
        <f>AVERAGEIF($AA:$AA,$AF22,S:S)</f>
        <v>4.5953846153846145</v>
      </c>
      <c r="AL22" s="2">
        <f>AVERAGEIF($AA:$AA,$AF22,T:T)</f>
        <v>4.2272727272727275</v>
      </c>
      <c r="AM22" s="2">
        <f>AVERAGEIF($AA:$AA,$AF22,U:U)</f>
        <v>14.046666666666665</v>
      </c>
      <c r="AN22" s="2">
        <f>AVERAGEIF($AA:$AA,$AF22,V:V)</f>
        <v>55.3125</v>
      </c>
      <c r="AO22" s="2">
        <f>AVERAGEIF($AA:$AA,$AF22,W:W)</f>
        <v>-5.1415384615384614</v>
      </c>
      <c r="AP22" s="2">
        <f>AVERAGEIF($AA:$AA,$AF22,X:X)</f>
        <v>-3.8927272727272726</v>
      </c>
      <c r="AQ22" s="2">
        <f>AVERAGEIF($AA:$AA,$AF22,Y:Y)</f>
        <v>-4.3177777777777777</v>
      </c>
      <c r="AR22" s="2">
        <f>AVERAGEIF($AA:$AA,$AF22,Z:Z)</f>
        <v>-1.3787500000000001</v>
      </c>
      <c r="AS22" s="2"/>
      <c r="AT22" s="2">
        <f>COUNTIF(AA:AA,AF22)</f>
        <v>14</v>
      </c>
    </row>
    <row r="23" spans="1:46" x14ac:dyDescent="0.2">
      <c r="A23" s="1">
        <v>44530</v>
      </c>
      <c r="B23" t="s">
        <v>86</v>
      </c>
      <c r="C23" t="s">
        <v>27</v>
      </c>
      <c r="D23" t="s">
        <v>28</v>
      </c>
      <c r="E23">
        <v>1</v>
      </c>
      <c r="F23">
        <v>5</v>
      </c>
      <c r="G23" t="s">
        <v>87</v>
      </c>
      <c r="H23" t="s">
        <v>88</v>
      </c>
      <c r="I23" t="s">
        <v>89</v>
      </c>
      <c r="K23" t="s">
        <v>53</v>
      </c>
      <c r="L23" t="s">
        <v>54</v>
      </c>
      <c r="M23" t="s">
        <v>35</v>
      </c>
      <c r="N23" t="b">
        <v>0</v>
      </c>
      <c r="O23">
        <v>2.16</v>
      </c>
      <c r="P23">
        <v>-11.57</v>
      </c>
      <c r="Q23">
        <v>-24.91</v>
      </c>
      <c r="R23">
        <v>7.47</v>
      </c>
      <c r="S23">
        <v>2.16</v>
      </c>
      <c r="T23">
        <v>-11.57</v>
      </c>
      <c r="U23">
        <v>-24.91</v>
      </c>
      <c r="V23">
        <v>7.47</v>
      </c>
      <c r="W23">
        <v>0</v>
      </c>
      <c r="X23">
        <v>0</v>
      </c>
      <c r="Y23">
        <v>0</v>
      </c>
      <c r="Z23">
        <v>0</v>
      </c>
      <c r="AA23" t="str">
        <f t="shared" si="0"/>
        <v>FIRST_MENTION_AND_HCOBVIOUS_UNIVERSE</v>
      </c>
      <c r="AC23" t="s">
        <v>352</v>
      </c>
      <c r="AF23" t="str">
        <v>FIRST_MENTION_WITH_TICKERSOBVIOUS_UNIVERSE</v>
      </c>
      <c r="AG23" s="2">
        <f>AVERAGEIF($AA:$AA,$AF23,O:O)</f>
        <v>-9.7499999999999698E-2</v>
      </c>
      <c r="AH23" s="2">
        <f>AVERAGEIF($AA:$AA,$AF23,P:P)</f>
        <v>4.4227272727272711</v>
      </c>
      <c r="AI23" s="2">
        <f>AVERAGEIF($AA:$AA,$AF23,Q:Q)</f>
        <v>18.36</v>
      </c>
      <c r="AJ23" s="2">
        <f>AVERAGEIF($AA:$AA,$AF23,R:R)</f>
        <v>86.62166666666667</v>
      </c>
      <c r="AK23" s="2">
        <f>AVERAGEIF($AA:$AA,$AF23,S:S)</f>
        <v>3.9991666666666661</v>
      </c>
      <c r="AL23" s="2">
        <f>AVERAGEIF($AA:$AA,$AF23,T:T)</f>
        <v>7.5463636363636368</v>
      </c>
      <c r="AM23" s="2">
        <f>AVERAGEIF($AA:$AA,$AF23,U:U)</f>
        <v>22.043749999999999</v>
      </c>
      <c r="AN23" s="2">
        <f>AVERAGEIF($AA:$AA,$AF23,V:V)</f>
        <v>84.938333333333333</v>
      </c>
      <c r="AO23" s="2">
        <f>AVERAGEIF($AA:$AA,$AF23,W:W)</f>
        <v>-4.0949999999999998</v>
      </c>
      <c r="AP23" s="2">
        <f>AVERAGEIF($AA:$AA,$AF23,X:X)</f>
        <v>-3.122727272727273</v>
      </c>
      <c r="AQ23" s="2">
        <f>AVERAGEIF($AA:$AA,$AF23,Y:Y)</f>
        <v>-3.6837499999999999</v>
      </c>
      <c r="AR23" s="2">
        <f>AVERAGEIF($AA:$AA,$AF23,Z:Z)</f>
        <v>1.6849999999999998</v>
      </c>
      <c r="AT23" s="2">
        <f>COUNTIF(AA:AA,AF23)</f>
        <v>12</v>
      </c>
    </row>
    <row r="24" spans="1:46" x14ac:dyDescent="0.2">
      <c r="A24" s="1">
        <v>44530</v>
      </c>
      <c r="B24" t="s">
        <v>90</v>
      </c>
      <c r="C24" t="s">
        <v>27</v>
      </c>
      <c r="D24" t="s">
        <v>28</v>
      </c>
      <c r="E24">
        <v>1</v>
      </c>
      <c r="F24">
        <v>3</v>
      </c>
      <c r="G24" t="s">
        <v>87</v>
      </c>
      <c r="H24" t="s">
        <v>91</v>
      </c>
      <c r="I24" t="s">
        <v>92</v>
      </c>
      <c r="L24" t="s">
        <v>43</v>
      </c>
      <c r="M24" t="s">
        <v>35</v>
      </c>
      <c r="N24" t="b">
        <v>0</v>
      </c>
      <c r="O24" t="s">
        <v>43</v>
      </c>
      <c r="P24" t="s">
        <v>43</v>
      </c>
      <c r="Q24" t="s">
        <v>43</v>
      </c>
      <c r="R24" t="s">
        <v>43</v>
      </c>
      <c r="S24">
        <v>2.16</v>
      </c>
      <c r="T24">
        <v>-11.57</v>
      </c>
      <c r="U24">
        <v>-24.91</v>
      </c>
      <c r="V24">
        <v>7.47</v>
      </c>
      <c r="W24" t="s">
        <v>43</v>
      </c>
      <c r="X24" t="s">
        <v>43</v>
      </c>
      <c r="Y24" t="s">
        <v>43</v>
      </c>
      <c r="Z24" t="s">
        <v>43</v>
      </c>
      <c r="AA24" t="str">
        <f t="shared" si="0"/>
        <v>FIRST_MENTION_AND_HCNO_BASKET</v>
      </c>
      <c r="AF24" t="str">
        <v>THESIS_REVERSALBAKER_NAMED</v>
      </c>
      <c r="AG24" s="2">
        <f>AVERAGEIF($AA:$AA,$AF24,O:O)</f>
        <v>-5.21</v>
      </c>
      <c r="AH24" s="2">
        <f>AVERAGEIF($AA:$AA,$AF24,P:P)</f>
        <v>2.1</v>
      </c>
      <c r="AI24" s="2">
        <f>AVERAGEIF($AA:$AA,$AF24,Q:Q)</f>
        <v>-10.130000000000001</v>
      </c>
      <c r="AJ24" s="2">
        <f>AVERAGEIF($AA:$AA,$AF24,R:R)</f>
        <v>14.36</v>
      </c>
      <c r="AK24" s="2">
        <f>AVERAGEIF($AA:$AA,$AF24,S:S)</f>
        <v>11.790000000000001</v>
      </c>
      <c r="AL24" s="2">
        <f>AVERAGEIF($AA:$AA,$AF24,T:T)</f>
        <v>10.92</v>
      </c>
      <c r="AM24" s="2">
        <f>AVERAGEIF($AA:$AA,$AF24,U:U)</f>
        <v>53.26</v>
      </c>
      <c r="AN24" s="2">
        <f>AVERAGEIF($AA:$AA,$AF24,V:V)</f>
        <v>41.8</v>
      </c>
      <c r="AO24" s="2">
        <f>AVERAGEIF($AA:$AA,$AF24,W:W)</f>
        <v>-17.004999999999999</v>
      </c>
      <c r="AP24" s="2">
        <f>AVERAGEIF($AA:$AA,$AF24,X:X)</f>
        <v>-8.81</v>
      </c>
      <c r="AQ24" s="2">
        <f>AVERAGEIF($AA:$AA,$AF24,Y:Y)</f>
        <v>-63.39</v>
      </c>
      <c r="AR24" s="2">
        <f>AVERAGEIF($AA:$AA,$AF24,Z:Z)</f>
        <v>-27.44</v>
      </c>
      <c r="AT24" s="2">
        <f>COUNTIF(AA:AA,AF24)</f>
        <v>2</v>
      </c>
    </row>
    <row r="25" spans="1:46" x14ac:dyDescent="0.2">
      <c r="A25" s="1">
        <v>44530</v>
      </c>
      <c r="B25" t="s">
        <v>58</v>
      </c>
      <c r="C25" t="s">
        <v>36</v>
      </c>
      <c r="D25" t="s">
        <v>28</v>
      </c>
      <c r="E25">
        <v>2</v>
      </c>
      <c r="F25">
        <v>11</v>
      </c>
      <c r="G25" t="s">
        <v>87</v>
      </c>
      <c r="H25" t="s">
        <v>93</v>
      </c>
      <c r="I25" t="s">
        <v>94</v>
      </c>
      <c r="J25" t="s">
        <v>95</v>
      </c>
      <c r="K25" t="s">
        <v>43</v>
      </c>
      <c r="L25" t="s">
        <v>43</v>
      </c>
      <c r="M25" t="s">
        <v>35</v>
      </c>
      <c r="N25" t="b">
        <v>0</v>
      </c>
      <c r="O25" t="s">
        <v>43</v>
      </c>
      <c r="P25" t="s">
        <v>43</v>
      </c>
      <c r="Q25" t="s">
        <v>43</v>
      </c>
      <c r="R25" t="s">
        <v>43</v>
      </c>
      <c r="S25">
        <v>2.16</v>
      </c>
      <c r="T25">
        <v>-11.57</v>
      </c>
      <c r="U25">
        <v>-24.91</v>
      </c>
      <c r="V25">
        <v>7.47</v>
      </c>
      <c r="W25" t="s">
        <v>43</v>
      </c>
      <c r="X25" t="s">
        <v>43</v>
      </c>
      <c r="Y25" t="s">
        <v>43</v>
      </c>
      <c r="Z25" t="s">
        <v>43</v>
      </c>
      <c r="AA25" t="str">
        <f t="shared" si="0"/>
        <v>FIRST_MENTION_WITH_TICKERSNO_BASKET</v>
      </c>
      <c r="AF25" t="str">
        <v>HC_HIGH_PROFILE_VENUEBAKER_NAMED</v>
      </c>
      <c r="AG25" s="2">
        <f>AVERAGEIF($AA:$AA,$AF25,O:O)</f>
        <v>-0.99750000000000005</v>
      </c>
      <c r="AH25" s="2">
        <f>AVERAGEIF($AA:$AA,$AF25,P:P)</f>
        <v>-5.18</v>
      </c>
      <c r="AI25" s="2">
        <f>AVERAGEIF($AA:$AA,$AF25,Q:Q)</f>
        <v>78.303333333333327</v>
      </c>
      <c r="AJ25" s="2">
        <f>AVERAGEIF($AA:$AA,$AF25,R:R)</f>
        <v>172.05333333333337</v>
      </c>
      <c r="AK25" s="2">
        <f>AVERAGEIF($AA:$AA,$AF25,S:S)</f>
        <v>12.015000000000001</v>
      </c>
      <c r="AL25" s="2">
        <f>AVERAGEIF($AA:$AA,$AF25,T:T)</f>
        <v>24.506666666666664</v>
      </c>
      <c r="AM25" s="2">
        <f>AVERAGEIF($AA:$AA,$AF25,U:U)</f>
        <v>46.836666666666666</v>
      </c>
      <c r="AN25" s="2">
        <f>AVERAGEIF($AA:$AA,$AF25,V:V)</f>
        <v>85.63</v>
      </c>
      <c r="AO25" s="2">
        <f>AVERAGEIF($AA:$AA,$AF25,W:W)</f>
        <v>-13.009999999999998</v>
      </c>
      <c r="AP25" s="2">
        <f>AVERAGEIF($AA:$AA,$AF25,X:X)</f>
        <v>-29.680000000000003</v>
      </c>
      <c r="AQ25" s="2">
        <f>AVERAGEIF($AA:$AA,$AF25,Y:Y)</f>
        <v>31.47</v>
      </c>
      <c r="AR25" s="2">
        <f>AVERAGEIF($AA:$AA,$AF25,Z:Z)</f>
        <v>86.423333333333332</v>
      </c>
      <c r="AT25" s="2">
        <f>COUNTIF(AA:AA,AF25)</f>
        <v>4</v>
      </c>
    </row>
    <row r="26" spans="1:46" x14ac:dyDescent="0.2">
      <c r="A26" s="1">
        <v>44530</v>
      </c>
      <c r="B26" t="s">
        <v>96</v>
      </c>
      <c r="C26" t="s">
        <v>27</v>
      </c>
      <c r="D26" t="s">
        <v>28</v>
      </c>
      <c r="E26">
        <v>1</v>
      </c>
      <c r="F26">
        <v>2</v>
      </c>
      <c r="G26" t="s">
        <v>87</v>
      </c>
      <c r="H26" t="s">
        <v>91</v>
      </c>
      <c r="I26" t="s">
        <v>92</v>
      </c>
      <c r="L26" t="s">
        <v>43</v>
      </c>
      <c r="M26" t="s">
        <v>35</v>
      </c>
      <c r="N26" t="b">
        <v>0</v>
      </c>
      <c r="O26" t="s">
        <v>43</v>
      </c>
      <c r="P26" t="s">
        <v>43</v>
      </c>
      <c r="Q26" t="s">
        <v>43</v>
      </c>
      <c r="R26" t="s">
        <v>43</v>
      </c>
      <c r="S26">
        <v>2.16</v>
      </c>
      <c r="T26">
        <v>-11.57</v>
      </c>
      <c r="U26">
        <v>-24.91</v>
      </c>
      <c r="V26">
        <v>7.47</v>
      </c>
      <c r="W26" t="s">
        <v>43</v>
      </c>
      <c r="X26" t="s">
        <v>43</v>
      </c>
      <c r="Y26" t="s">
        <v>43</v>
      </c>
      <c r="Z26" t="s">
        <v>43</v>
      </c>
      <c r="AA26" t="str">
        <f t="shared" si="0"/>
        <v>FIRST_MENTION_AND_HCNO_BASKET</v>
      </c>
      <c r="AF26" t="str">
        <v>FIRST_MENTIONBAKER_NAMED</v>
      </c>
      <c r="AG26" s="2">
        <f>AVERAGEIF($AA:$AA,$AF26,O:O)</f>
        <v>5.4625000000000004</v>
      </c>
      <c r="AH26" s="2">
        <f>AVERAGEIF($AA:$AA,$AF26,P:P)</f>
        <v>4.96</v>
      </c>
      <c r="AI26" s="2">
        <f>AVERAGEIF($AA:$AA,$AF26,Q:Q)</f>
        <v>5.0266666666666664</v>
      </c>
      <c r="AJ26" s="2">
        <f>AVERAGEIF($AA:$AA,$AF26,R:R)</f>
        <v>81.790000000000006</v>
      </c>
      <c r="AK26" s="2">
        <f>AVERAGEIF($AA:$AA,$AF26,S:S)</f>
        <v>1.0350000000000001</v>
      </c>
      <c r="AL26" s="2">
        <f>AVERAGEIF($AA:$AA,$AF26,T:T)</f>
        <v>-0.80499999999999972</v>
      </c>
      <c r="AM26" s="2">
        <f>AVERAGEIF($AA:$AA,$AF26,U:U)</f>
        <v>5.5133333333333328</v>
      </c>
      <c r="AN26" s="2">
        <f>AVERAGEIF($AA:$AA,$AF26,V:V)</f>
        <v>68.680000000000007</v>
      </c>
      <c r="AO26" s="2">
        <f>AVERAGEIF($AA:$AA,$AF26,W:W)</f>
        <v>4.4275000000000002</v>
      </c>
      <c r="AP26" s="2">
        <f>AVERAGEIF($AA:$AA,$AF26,X:X)</f>
        <v>5.7675000000000001</v>
      </c>
      <c r="AQ26" s="2">
        <f>AVERAGEIF($AA:$AA,$AF26,Y:Y)</f>
        <v>-0.48666666666666697</v>
      </c>
      <c r="AR26" s="2">
        <f>AVERAGEIF($AA:$AA,$AF26,Z:Z)</f>
        <v>13.115000000000002</v>
      </c>
      <c r="AT26" s="2">
        <f>COUNTIF(AA:AA,AF26)</f>
        <v>4</v>
      </c>
    </row>
    <row r="27" spans="1:46" x14ac:dyDescent="0.2">
      <c r="A27" s="1">
        <v>44530</v>
      </c>
      <c r="B27" t="s">
        <v>97</v>
      </c>
      <c r="C27" t="s">
        <v>27</v>
      </c>
      <c r="D27" t="s">
        <v>28</v>
      </c>
      <c r="E27">
        <v>1</v>
      </c>
      <c r="F27">
        <v>5</v>
      </c>
      <c r="G27" t="s">
        <v>87</v>
      </c>
      <c r="H27" t="s">
        <v>98</v>
      </c>
      <c r="I27" t="s">
        <v>99</v>
      </c>
      <c r="K27" t="s">
        <v>53</v>
      </c>
      <c r="L27" t="s">
        <v>54</v>
      </c>
      <c r="M27" t="s">
        <v>35</v>
      </c>
      <c r="N27" t="b">
        <v>0</v>
      </c>
      <c r="O27">
        <v>2.16</v>
      </c>
      <c r="P27">
        <v>-11.57</v>
      </c>
      <c r="Q27">
        <v>-24.91</v>
      </c>
      <c r="R27">
        <v>7.47</v>
      </c>
      <c r="S27">
        <v>2.16</v>
      </c>
      <c r="T27">
        <v>-11.57</v>
      </c>
      <c r="U27">
        <v>-24.91</v>
      </c>
      <c r="V27">
        <v>7.47</v>
      </c>
      <c r="W27">
        <v>0</v>
      </c>
      <c r="X27">
        <v>0</v>
      </c>
      <c r="Y27">
        <v>0</v>
      </c>
      <c r="Z27">
        <v>0</v>
      </c>
      <c r="AA27" t="str">
        <f t="shared" si="0"/>
        <v>FIRST_MENTION_AND_HCOBVIOUS_UNIVERSE</v>
      </c>
      <c r="AC27" t="s">
        <v>352</v>
      </c>
      <c r="AF27" t="str">
        <v>FIRST_MENTION_AND_HCNO_BASKET</v>
      </c>
      <c r="AG27" s="2" t="e">
        <f>AVERAGEIF($AA:$AA,$AF27,O:O)</f>
        <v>#DIV/0!</v>
      </c>
      <c r="AH27" s="2" t="e">
        <f>AVERAGEIF($AA:$AA,$AF27,P:P)</f>
        <v>#DIV/0!</v>
      </c>
      <c r="AI27" s="2" t="e">
        <f>AVERAGEIF($AA:$AA,$AF27,Q:Q)</f>
        <v>#DIV/0!</v>
      </c>
      <c r="AJ27" s="2" t="e">
        <f>AVERAGEIF($AA:$AA,$AF27,R:R)</f>
        <v>#DIV/0!</v>
      </c>
      <c r="AK27" s="2">
        <f>AVERAGEIF($AA:$AA,$AF27,S:S)</f>
        <v>0.64600000000000024</v>
      </c>
      <c r="AL27" s="2">
        <f>AVERAGEIF($AA:$AA,$AF27,T:T)</f>
        <v>-2.6977777777777785</v>
      </c>
      <c r="AM27" s="2">
        <f>AVERAGEIF($AA:$AA,$AF27,U:U)</f>
        <v>6.0971428571428579</v>
      </c>
      <c r="AN27" s="2">
        <f>AVERAGEIF($AA:$AA,$AF27,V:V)</f>
        <v>67.024000000000001</v>
      </c>
      <c r="AO27" s="2" t="e">
        <f>AVERAGEIF($AA:$AA,$AF27,W:W)</f>
        <v>#DIV/0!</v>
      </c>
      <c r="AP27" s="2" t="e">
        <f>AVERAGEIF($AA:$AA,$AF27,X:X)</f>
        <v>#DIV/0!</v>
      </c>
      <c r="AQ27" s="2" t="e">
        <f>AVERAGEIF($AA:$AA,$AF27,Y:Y)</f>
        <v>#DIV/0!</v>
      </c>
      <c r="AR27" s="2" t="e">
        <f>AVERAGEIF($AA:$AA,$AF27,Z:Z)</f>
        <v>#DIV/0!</v>
      </c>
      <c r="AT27" s="2">
        <f>COUNTIF(AA:AA,AF27)</f>
        <v>10</v>
      </c>
    </row>
    <row r="28" spans="1:46" x14ac:dyDescent="0.2">
      <c r="A28" s="1">
        <v>44530</v>
      </c>
      <c r="B28" t="s">
        <v>82</v>
      </c>
      <c r="C28" t="s">
        <v>100</v>
      </c>
      <c r="D28" t="s">
        <v>28</v>
      </c>
      <c r="E28">
        <v>2</v>
      </c>
      <c r="F28">
        <v>9</v>
      </c>
      <c r="G28" t="s">
        <v>87</v>
      </c>
      <c r="H28" t="s">
        <v>93</v>
      </c>
      <c r="I28" t="s">
        <v>94</v>
      </c>
      <c r="J28" t="s">
        <v>95</v>
      </c>
      <c r="K28" t="s">
        <v>101</v>
      </c>
      <c r="L28" t="s">
        <v>102</v>
      </c>
      <c r="M28" t="s">
        <v>35</v>
      </c>
      <c r="N28" t="b">
        <v>1</v>
      </c>
      <c r="O28">
        <v>-20.95</v>
      </c>
      <c r="P28">
        <v>-40.5</v>
      </c>
      <c r="Q28">
        <v>-72.62</v>
      </c>
      <c r="R28">
        <v>-75.72</v>
      </c>
      <c r="S28">
        <v>2.16</v>
      </c>
      <c r="T28">
        <v>-11.57</v>
      </c>
      <c r="U28">
        <v>-24.91</v>
      </c>
      <c r="V28">
        <v>7.47</v>
      </c>
      <c r="W28">
        <v>-23.11</v>
      </c>
      <c r="X28">
        <v>-28.93</v>
      </c>
      <c r="Y28">
        <v>-47.71</v>
      </c>
      <c r="Z28">
        <v>-83.19</v>
      </c>
      <c r="AA28" t="str">
        <f t="shared" si="0"/>
        <v>FIRST_HC_NOT_FIRST_MENTIONRETAIL_PROXY</v>
      </c>
      <c r="AF28" t="str">
        <v>FIRST_HC_NOT_FIRST_MENTIONRETAIL_PROXY</v>
      </c>
      <c r="AG28" s="2">
        <f>AVERAGEIF($AA:$AA,$AF28,O:O)</f>
        <v>-1.9049999999999994</v>
      </c>
      <c r="AH28" s="2">
        <f>AVERAGEIF($AA:$AA,$AF28,P:P)</f>
        <v>16.630000000000003</v>
      </c>
      <c r="AI28" s="2">
        <f>AVERAGEIF($AA:$AA,$AF28,Q:Q)</f>
        <v>-72.62</v>
      </c>
      <c r="AJ28" s="2">
        <f>AVERAGEIF($AA:$AA,$AF28,R:R)</f>
        <v>-75.72</v>
      </c>
      <c r="AK28" s="2">
        <f>AVERAGEIF($AA:$AA,$AF28,S:S)</f>
        <v>0.92500000000000004</v>
      </c>
      <c r="AL28" s="2">
        <f>AVERAGEIF($AA:$AA,$AF28,T:T)</f>
        <v>4.6750000000000007</v>
      </c>
      <c r="AM28" s="2">
        <f>AVERAGEIF($AA:$AA,$AF28,U:U)</f>
        <v>-24.91</v>
      </c>
      <c r="AN28" s="2">
        <f>AVERAGEIF($AA:$AA,$AF28,V:V)</f>
        <v>7.47</v>
      </c>
      <c r="AO28" s="2">
        <f>AVERAGEIF($AA:$AA,$AF28,W:W)</f>
        <v>-2.83</v>
      </c>
      <c r="AP28" s="2">
        <f>AVERAGEIF($AA:$AA,$AF28,X:X)</f>
        <v>11.96</v>
      </c>
      <c r="AQ28" s="2">
        <f>AVERAGEIF($AA:$AA,$AF28,Y:Y)</f>
        <v>-47.71</v>
      </c>
      <c r="AR28" s="2">
        <f>AVERAGEIF($AA:$AA,$AF28,Z:Z)</f>
        <v>-83.19</v>
      </c>
      <c r="AT28" s="2">
        <f>COUNTIF(AA:AA,AF28)</f>
        <v>2</v>
      </c>
    </row>
    <row r="29" spans="1:46" x14ac:dyDescent="0.2">
      <c r="A29" s="1">
        <v>44530</v>
      </c>
      <c r="B29" t="s">
        <v>103</v>
      </c>
      <c r="C29" t="s">
        <v>27</v>
      </c>
      <c r="D29" t="s">
        <v>28</v>
      </c>
      <c r="E29">
        <v>1</v>
      </c>
      <c r="F29">
        <v>2</v>
      </c>
      <c r="G29" t="s">
        <v>87</v>
      </c>
      <c r="H29" t="s">
        <v>104</v>
      </c>
      <c r="I29" t="s">
        <v>105</v>
      </c>
      <c r="J29" t="s">
        <v>106</v>
      </c>
      <c r="K29" t="s">
        <v>106</v>
      </c>
      <c r="L29" t="s">
        <v>49</v>
      </c>
      <c r="M29" t="s">
        <v>35</v>
      </c>
      <c r="N29" t="b">
        <v>0</v>
      </c>
      <c r="O29">
        <v>-6.5</v>
      </c>
      <c r="P29">
        <v>-23.14</v>
      </c>
      <c r="Q29">
        <v>-48.98</v>
      </c>
      <c r="R29">
        <v>-37.409999999999997</v>
      </c>
      <c r="S29">
        <v>2.16</v>
      </c>
      <c r="T29">
        <v>-11.57</v>
      </c>
      <c r="U29">
        <v>-24.91</v>
      </c>
      <c r="V29">
        <v>7.47</v>
      </c>
      <c r="W29">
        <v>-8.66</v>
      </c>
      <c r="X29">
        <v>-11.57</v>
      </c>
      <c r="Y29">
        <v>-24.07</v>
      </c>
      <c r="Z29">
        <v>-44.88</v>
      </c>
      <c r="AA29" t="str">
        <f t="shared" si="0"/>
        <v>FIRST_MENTION_AND_HCBAKER_NAMED</v>
      </c>
      <c r="AB29" t="s">
        <v>342</v>
      </c>
      <c r="AC29" t="s">
        <v>345</v>
      </c>
      <c r="AF29" t="str">
        <v>HC_HIGH_PROFILE_VENUEOBVIOUS_UNIVERSE</v>
      </c>
      <c r="AG29" s="2">
        <f>AVERAGEIF($AA:$AA,$AF29,O:O)</f>
        <v>17.083333333333332</v>
      </c>
      <c r="AH29" s="2">
        <f>AVERAGEIF($AA:$AA,$AF29,P:P)</f>
        <v>23.27333333333333</v>
      </c>
      <c r="AI29" s="2">
        <f>AVERAGEIF($AA:$AA,$AF29,Q:Q)</f>
        <v>622.73</v>
      </c>
      <c r="AJ29" s="2">
        <f>AVERAGEIF($AA:$AA,$AF29,R:R)</f>
        <v>123.87</v>
      </c>
      <c r="AK29" s="2">
        <f>AVERAGEIF($AA:$AA,$AF29,S:S)</f>
        <v>11.873333333333335</v>
      </c>
      <c r="AL29" s="2">
        <f>AVERAGEIF($AA:$AA,$AF29,T:T)</f>
        <v>23.459999999999997</v>
      </c>
      <c r="AM29" s="2">
        <f>AVERAGEIF($AA:$AA,$AF29,U:U)</f>
        <v>113.33666666666666</v>
      </c>
      <c r="AN29" s="2">
        <f>AVERAGEIF($AA:$AA,$AF29,V:V)</f>
        <v>123.87</v>
      </c>
      <c r="AO29" s="2">
        <f>AVERAGEIF($AA:$AA,$AF29,W:W)</f>
        <v>5.2116666666666669</v>
      </c>
      <c r="AP29" s="2">
        <f>AVERAGEIF($AA:$AA,$AF29,X:X)</f>
        <v>-0.18666666666666668</v>
      </c>
      <c r="AQ29" s="2">
        <f>AVERAGEIF($AA:$AA,$AF29,Y:Y)</f>
        <v>509.39333333333337</v>
      </c>
      <c r="AR29" s="2">
        <f>AVERAGEIF($AA:$AA,$AF29,Z:Z)</f>
        <v>0</v>
      </c>
      <c r="AT29" s="2">
        <f>COUNTIF(AA:AA,AF29)</f>
        <v>6</v>
      </c>
    </row>
    <row r="30" spans="1:46" x14ac:dyDescent="0.2">
      <c r="A30" s="1">
        <v>44530</v>
      </c>
      <c r="B30" t="s">
        <v>103</v>
      </c>
      <c r="C30" t="s">
        <v>36</v>
      </c>
      <c r="D30" t="s">
        <v>28</v>
      </c>
      <c r="E30">
        <v>1</v>
      </c>
      <c r="F30">
        <v>2</v>
      </c>
      <c r="G30" t="s">
        <v>87</v>
      </c>
      <c r="H30" t="s">
        <v>104</v>
      </c>
      <c r="I30" t="s">
        <v>105</v>
      </c>
      <c r="J30" t="s">
        <v>106</v>
      </c>
      <c r="K30" t="s">
        <v>106</v>
      </c>
      <c r="L30" t="s">
        <v>49</v>
      </c>
      <c r="M30" t="s">
        <v>35</v>
      </c>
      <c r="N30" t="b">
        <v>0</v>
      </c>
      <c r="O30">
        <v>-6.5</v>
      </c>
      <c r="P30">
        <v>-23.14</v>
      </c>
      <c r="Q30">
        <v>-48.98</v>
      </c>
      <c r="R30">
        <v>-37.409999999999997</v>
      </c>
      <c r="S30">
        <v>2.16</v>
      </c>
      <c r="T30">
        <v>-11.57</v>
      </c>
      <c r="U30">
        <v>-24.91</v>
      </c>
      <c r="V30">
        <v>7.47</v>
      </c>
      <c r="W30">
        <v>-8.66</v>
      </c>
      <c r="X30">
        <v>-11.57</v>
      </c>
      <c r="Y30">
        <v>-24.07</v>
      </c>
      <c r="Z30">
        <v>-44.88</v>
      </c>
      <c r="AA30" t="str">
        <f t="shared" si="0"/>
        <v>FIRST_MENTION_WITH_TICKERSBAKER_NAMED</v>
      </c>
      <c r="AB30" t="s">
        <v>342</v>
      </c>
      <c r="AC30" t="s">
        <v>345</v>
      </c>
      <c r="AF30" t="str">
        <v>HC_HIGH_PROFILE_VENUENO_BASKET</v>
      </c>
      <c r="AG30" s="2" t="e">
        <f>AVERAGEIF($AA:$AA,$AF30,O:O)</f>
        <v>#DIV/0!</v>
      </c>
      <c r="AH30" s="2" t="e">
        <f>AVERAGEIF($AA:$AA,$AF30,P:P)</f>
        <v>#DIV/0!</v>
      </c>
      <c r="AI30" s="2" t="e">
        <f>AVERAGEIF($AA:$AA,$AF30,Q:Q)</f>
        <v>#DIV/0!</v>
      </c>
      <c r="AJ30" s="2" t="e">
        <f>AVERAGEIF($AA:$AA,$AF30,R:R)</f>
        <v>#DIV/0!</v>
      </c>
      <c r="AK30" s="2">
        <f>AVERAGEIF($AA:$AA,$AF30,S:S)</f>
        <v>12.15</v>
      </c>
      <c r="AL30" s="2">
        <f>AVERAGEIF($AA:$AA,$AF30,T:T)</f>
        <v>24.74</v>
      </c>
      <c r="AM30" s="2">
        <f>AVERAGEIF($AA:$AA,$AF30,U:U)</f>
        <v>44.23</v>
      </c>
      <c r="AN30" s="2">
        <f>AVERAGEIF($AA:$AA,$AF30,V:V)</f>
        <v>123.87</v>
      </c>
      <c r="AO30" s="2" t="e">
        <f>AVERAGEIF($AA:$AA,$AF30,W:W)</f>
        <v>#DIV/0!</v>
      </c>
      <c r="AP30" s="2" t="e">
        <f>AVERAGEIF($AA:$AA,$AF30,X:X)</f>
        <v>#DIV/0!</v>
      </c>
      <c r="AQ30" s="2" t="e">
        <f>AVERAGEIF($AA:$AA,$AF30,Y:Y)</f>
        <v>#DIV/0!</v>
      </c>
      <c r="AR30" s="2" t="e">
        <f>AVERAGEIF($AA:$AA,$AF30,Z:Z)</f>
        <v>#DIV/0!</v>
      </c>
      <c r="AT30" s="2">
        <f>COUNTIF(AA:AA,AF30)</f>
        <v>2</v>
      </c>
    </row>
    <row r="31" spans="1:46" x14ac:dyDescent="0.2">
      <c r="A31" s="1">
        <v>44645</v>
      </c>
      <c r="B31" t="s">
        <v>107</v>
      </c>
      <c r="C31" t="s">
        <v>27</v>
      </c>
      <c r="D31" t="s">
        <v>28</v>
      </c>
      <c r="E31">
        <v>1</v>
      </c>
      <c r="F31">
        <v>2</v>
      </c>
      <c r="G31" t="s">
        <v>108</v>
      </c>
      <c r="H31" t="s">
        <v>109</v>
      </c>
      <c r="I31" t="s">
        <v>110</v>
      </c>
      <c r="L31" t="s">
        <v>43</v>
      </c>
      <c r="M31" t="s">
        <v>111</v>
      </c>
      <c r="N31" t="b">
        <v>0</v>
      </c>
      <c r="O31" t="s">
        <v>43</v>
      </c>
      <c r="P31" t="s">
        <v>43</v>
      </c>
      <c r="Q31" t="s">
        <v>43</v>
      </c>
      <c r="R31" t="s">
        <v>43</v>
      </c>
      <c r="S31">
        <v>-16.97</v>
      </c>
      <c r="T31">
        <v>-21.75</v>
      </c>
      <c r="U31">
        <v>-8.1999999999999993</v>
      </c>
      <c r="V31">
        <v>66.290000000000006</v>
      </c>
      <c r="W31" t="s">
        <v>43</v>
      </c>
      <c r="X31" t="s">
        <v>43</v>
      </c>
      <c r="Y31" t="s">
        <v>43</v>
      </c>
      <c r="Z31" t="s">
        <v>43</v>
      </c>
      <c r="AA31" t="str">
        <f t="shared" si="0"/>
        <v>FIRST_MENTION_AND_HCNO_BASKET</v>
      </c>
      <c r="AF31" t="str">
        <v>FIRST_HC_NOT_FIRST_MENTIONBAKER_NAMED</v>
      </c>
      <c r="AG31" s="2">
        <f>AVERAGEIF($AA:$AA,$AF31,O:O)</f>
        <v>6.16</v>
      </c>
      <c r="AH31" s="2">
        <f>AVERAGEIF($AA:$AA,$AF31,P:P)</f>
        <v>16.656666666666666</v>
      </c>
      <c r="AI31" s="2">
        <f>AVERAGEIF($AA:$AA,$AF31,Q:Q)</f>
        <v>84.965000000000003</v>
      </c>
      <c r="AJ31" s="2">
        <f>AVERAGEIF($AA:$AA,$AF31,R:R)</f>
        <v>427.67</v>
      </c>
      <c r="AK31" s="2">
        <f>AVERAGEIF($AA:$AA,$AF31,S:S)</f>
        <v>2.46</v>
      </c>
      <c r="AL31" s="2">
        <f>AVERAGEIF($AA:$AA,$AF31,T:T)</f>
        <v>10.43</v>
      </c>
      <c r="AM31" s="2">
        <f>AVERAGEIF($AA:$AA,$AF31,U:U)</f>
        <v>26.684999999999999</v>
      </c>
      <c r="AN31" s="2">
        <f>AVERAGEIF($AA:$AA,$AF31,V:V)</f>
        <v>123.87</v>
      </c>
      <c r="AO31" s="2">
        <f>AVERAGEIF($AA:$AA,$AF31,W:W)</f>
        <v>3.6999999999999997</v>
      </c>
      <c r="AP31" s="2">
        <f>AVERAGEIF($AA:$AA,$AF31,X:X)</f>
        <v>6.2333333333333316</v>
      </c>
      <c r="AQ31" s="2">
        <f>AVERAGEIF($AA:$AA,$AF31,Y:Y)</f>
        <v>58.284999999999997</v>
      </c>
      <c r="AR31" s="2">
        <f>AVERAGEIF($AA:$AA,$AF31,Z:Z)</f>
        <v>303.8</v>
      </c>
      <c r="AT31" s="2">
        <f>COUNTIF(AA:AA,AF31)</f>
        <v>3</v>
      </c>
    </row>
    <row r="32" spans="1:46" x14ac:dyDescent="0.2">
      <c r="A32" s="1">
        <v>45096</v>
      </c>
      <c r="B32" t="s">
        <v>112</v>
      </c>
      <c r="C32" t="s">
        <v>38</v>
      </c>
      <c r="D32" t="s">
        <v>39</v>
      </c>
      <c r="E32">
        <v>1</v>
      </c>
      <c r="F32">
        <v>8</v>
      </c>
      <c r="G32" t="s">
        <v>113</v>
      </c>
      <c r="H32" t="s">
        <v>114</v>
      </c>
      <c r="I32" t="s">
        <v>115</v>
      </c>
      <c r="J32" t="s">
        <v>106</v>
      </c>
      <c r="K32" t="s">
        <v>43</v>
      </c>
      <c r="L32" t="s">
        <v>43</v>
      </c>
      <c r="M32" t="s">
        <v>35</v>
      </c>
      <c r="N32" t="b">
        <v>0</v>
      </c>
      <c r="O32" t="s">
        <v>43</v>
      </c>
      <c r="P32" t="s">
        <v>43</v>
      </c>
      <c r="Q32" t="s">
        <v>43</v>
      </c>
      <c r="R32" t="s">
        <v>43</v>
      </c>
      <c r="S32">
        <v>0.09</v>
      </c>
      <c r="T32">
        <v>-4.46</v>
      </c>
      <c r="U32">
        <v>77.010000000000005</v>
      </c>
      <c r="V32">
        <v>79.53</v>
      </c>
      <c r="W32" t="s">
        <v>43</v>
      </c>
      <c r="X32" t="s">
        <v>43</v>
      </c>
      <c r="Y32" t="s">
        <v>43</v>
      </c>
      <c r="Z32" t="s">
        <v>43</v>
      </c>
      <c r="AA32" t="str">
        <f t="shared" si="0"/>
        <v>FIRST_MENTIONNO_BASKET</v>
      </c>
      <c r="AF32" t="str">
        <v>FIRST_MENTIONRETAIL_PROXY</v>
      </c>
      <c r="AG32" s="2">
        <f>AVERAGEIF($AA:$AA,$AF32,O:O)</f>
        <v>19.53</v>
      </c>
      <c r="AH32" s="2">
        <f>AVERAGEIF($AA:$AA,$AF32,P:P)</f>
        <v>10.55</v>
      </c>
      <c r="AI32" s="2">
        <f>AVERAGEIF($AA:$AA,$AF32,Q:Q)</f>
        <v>466.82</v>
      </c>
      <c r="AJ32" s="2">
        <f>AVERAGEIF($AA:$AA,$AF32,R:R)</f>
        <v>1332.24</v>
      </c>
      <c r="AK32" s="2">
        <f>AVERAGEIF($AA:$AA,$AF32,S:S)</f>
        <v>15.71</v>
      </c>
      <c r="AL32" s="2">
        <f>AVERAGEIF($AA:$AA,$AF32,T:T)</f>
        <v>24.74</v>
      </c>
      <c r="AM32" s="2">
        <f>AVERAGEIF($AA:$AA,$AF32,U:U)</f>
        <v>44.23</v>
      </c>
      <c r="AN32" s="2">
        <f>AVERAGEIF($AA:$AA,$AF32,V:V)</f>
        <v>123.87</v>
      </c>
      <c r="AO32" s="2">
        <f>AVERAGEIF($AA:$AA,$AF32,W:W)</f>
        <v>3.82</v>
      </c>
      <c r="AP32" s="2">
        <f>AVERAGEIF($AA:$AA,$AF32,X:X)</f>
        <v>-14.19</v>
      </c>
      <c r="AQ32" s="2">
        <f>AVERAGEIF($AA:$AA,$AF32,Y:Y)</f>
        <v>422.59</v>
      </c>
      <c r="AR32" s="2">
        <f>AVERAGEIF($AA:$AA,$AF32,Z:Z)</f>
        <v>1208.3699999999999</v>
      </c>
      <c r="AT32" s="2">
        <f>COUNTIF(AA:AA,AF32)</f>
        <v>1</v>
      </c>
    </row>
    <row r="33" spans="1:46" x14ac:dyDescent="0.2">
      <c r="A33" s="1">
        <v>45096</v>
      </c>
      <c r="B33" t="s">
        <v>112</v>
      </c>
      <c r="C33" t="s">
        <v>36</v>
      </c>
      <c r="D33" t="s">
        <v>39</v>
      </c>
      <c r="E33">
        <v>1</v>
      </c>
      <c r="F33">
        <v>8</v>
      </c>
      <c r="G33" t="s">
        <v>113</v>
      </c>
      <c r="H33" t="s">
        <v>114</v>
      </c>
      <c r="I33" t="s">
        <v>115</v>
      </c>
      <c r="J33" t="s">
        <v>106</v>
      </c>
      <c r="K33" t="s">
        <v>43</v>
      </c>
      <c r="L33" t="s">
        <v>43</v>
      </c>
      <c r="M33" t="s">
        <v>35</v>
      </c>
      <c r="N33" t="b">
        <v>0</v>
      </c>
      <c r="O33" t="s">
        <v>43</v>
      </c>
      <c r="P33" t="s">
        <v>43</v>
      </c>
      <c r="Q33" t="s">
        <v>43</v>
      </c>
      <c r="R33" t="s">
        <v>43</v>
      </c>
      <c r="S33">
        <v>0.09</v>
      </c>
      <c r="T33">
        <v>-4.46</v>
      </c>
      <c r="U33">
        <v>77.010000000000005</v>
      </c>
      <c r="V33">
        <v>79.53</v>
      </c>
      <c r="W33" t="s">
        <v>43</v>
      </c>
      <c r="X33" t="s">
        <v>43</v>
      </c>
      <c r="Y33" t="s">
        <v>43</v>
      </c>
      <c r="Z33" t="s">
        <v>43</v>
      </c>
      <c r="AA33" t="str">
        <f t="shared" si="0"/>
        <v>FIRST_MENTION_WITH_TICKERSNO_BASKET</v>
      </c>
      <c r="AF33" t="str">
        <v>HC_HIGH_PROFILE_VENUECONSTRUCTED</v>
      </c>
      <c r="AG33" s="2">
        <f>AVERAGEIF($AA:$AA,$AF33,O:O)</f>
        <v>-8.57</v>
      </c>
      <c r="AH33" s="2">
        <f>AVERAGEIF($AA:$AA,$AF33,P:P)</f>
        <v>4.29</v>
      </c>
      <c r="AI33" s="2">
        <f>AVERAGEIF($AA:$AA,$AF33,Q:Q)</f>
        <v>-17.3</v>
      </c>
      <c r="AJ33" s="2">
        <f>AVERAGEIF($AA:$AA,$AF33,R:R)</f>
        <v>23.69</v>
      </c>
      <c r="AK33" s="2">
        <f>AVERAGEIF($AA:$AA,$AF33,S:S)</f>
        <v>15.71</v>
      </c>
      <c r="AL33" s="2">
        <f>AVERAGEIF($AA:$AA,$AF33,T:T)</f>
        <v>24.74</v>
      </c>
      <c r="AM33" s="2">
        <f>AVERAGEIF($AA:$AA,$AF33,U:U)</f>
        <v>44.23</v>
      </c>
      <c r="AN33" s="2">
        <f>AVERAGEIF($AA:$AA,$AF33,V:V)</f>
        <v>123.87</v>
      </c>
      <c r="AO33" s="2">
        <f>AVERAGEIF($AA:$AA,$AF33,W:W)</f>
        <v>-24.28</v>
      </c>
      <c r="AP33" s="2">
        <f>AVERAGEIF($AA:$AA,$AF33,X:X)</f>
        <v>-20.45</v>
      </c>
      <c r="AQ33" s="2">
        <f>AVERAGEIF($AA:$AA,$AF33,Y:Y)</f>
        <v>-61.53</v>
      </c>
      <c r="AR33" s="2">
        <f>AVERAGEIF($AA:$AA,$AF33,Z:Z)</f>
        <v>-100.18</v>
      </c>
      <c r="AT33" s="2">
        <f>COUNTIF(AA:AA,AF33)</f>
        <v>1</v>
      </c>
    </row>
    <row r="34" spans="1:46" x14ac:dyDescent="0.2">
      <c r="A34" s="1">
        <v>45096</v>
      </c>
      <c r="B34" t="s">
        <v>116</v>
      </c>
      <c r="C34" t="s">
        <v>27</v>
      </c>
      <c r="D34" t="s">
        <v>28</v>
      </c>
      <c r="E34">
        <v>1</v>
      </c>
      <c r="F34">
        <v>5</v>
      </c>
      <c r="G34" t="s">
        <v>113</v>
      </c>
      <c r="H34" t="s">
        <v>117</v>
      </c>
      <c r="I34" t="s">
        <v>118</v>
      </c>
      <c r="K34" t="s">
        <v>119</v>
      </c>
      <c r="L34" t="s">
        <v>34</v>
      </c>
      <c r="M34" t="s">
        <v>65</v>
      </c>
      <c r="N34" t="b">
        <v>0</v>
      </c>
      <c r="O34">
        <v>-2.34</v>
      </c>
      <c r="P34">
        <v>-1.42</v>
      </c>
      <c r="Q34">
        <v>-2.2400000000000002</v>
      </c>
      <c r="R34">
        <v>-30.19</v>
      </c>
      <c r="S34">
        <v>0.09</v>
      </c>
      <c r="T34">
        <v>-4.46</v>
      </c>
      <c r="U34">
        <v>77.010000000000005</v>
      </c>
      <c r="V34">
        <v>79.53</v>
      </c>
      <c r="W34">
        <v>-2.4300000000000002</v>
      </c>
      <c r="X34">
        <v>3.04</v>
      </c>
      <c r="Y34">
        <v>-79.25</v>
      </c>
      <c r="Z34">
        <v>-109.72</v>
      </c>
      <c r="AA34" t="str">
        <f t="shared" si="0"/>
        <v>FIRST_MENTION_AND_HCCONSTRUCTED</v>
      </c>
      <c r="AF34" t="str">
        <v>FIRST_MENTIONCONSTRUCTED</v>
      </c>
      <c r="AG34" s="2">
        <f>AVERAGEIF($AA:$AA,$AF34,O:O)</f>
        <v>1.45</v>
      </c>
      <c r="AH34" s="2">
        <f>AVERAGEIF($AA:$AA,$AF34,P:P)</f>
        <v>15.11</v>
      </c>
      <c r="AI34" s="2">
        <f>AVERAGEIF($AA:$AA,$AF34,Q:Q)</f>
        <v>24.2</v>
      </c>
      <c r="AJ34" s="2">
        <f>AVERAGEIF($AA:$AA,$AF34,R:R)</f>
        <v>19.23</v>
      </c>
      <c r="AK34" s="2">
        <f>AVERAGEIF($AA:$AA,$AF34,S:S)</f>
        <v>7.15</v>
      </c>
      <c r="AL34" s="2">
        <f>AVERAGEIF($AA:$AA,$AF34,T:T)</f>
        <v>15.05</v>
      </c>
      <c r="AM34" s="2">
        <f>AVERAGEIF($AA:$AA,$AF34,U:U)</f>
        <v>26.59</v>
      </c>
      <c r="AN34" s="2">
        <f>AVERAGEIF($AA:$AA,$AF34,V:V)</f>
        <v>103.3</v>
      </c>
      <c r="AO34" s="2">
        <f>AVERAGEIF($AA:$AA,$AF34,W:W)</f>
        <v>-5.7</v>
      </c>
      <c r="AP34" s="2">
        <f>AVERAGEIF($AA:$AA,$AF34,X:X)</f>
        <v>0.06</v>
      </c>
      <c r="AQ34" s="2">
        <f>AVERAGEIF($AA:$AA,$AF34,Y:Y)</f>
        <v>-2.39</v>
      </c>
      <c r="AR34" s="2">
        <f>AVERAGEIF($AA:$AA,$AF34,Z:Z)</f>
        <v>-84.06</v>
      </c>
      <c r="AT34" s="2">
        <f>COUNTIF(AA:AA,AF34)</f>
        <v>1</v>
      </c>
    </row>
    <row r="35" spans="1:46" x14ac:dyDescent="0.2">
      <c r="A35" s="1">
        <v>45306</v>
      </c>
      <c r="B35" t="s">
        <v>86</v>
      </c>
      <c r="C35" t="s">
        <v>36</v>
      </c>
      <c r="D35" t="s">
        <v>28</v>
      </c>
      <c r="E35">
        <v>3</v>
      </c>
      <c r="F35">
        <v>5</v>
      </c>
      <c r="G35" t="s">
        <v>120</v>
      </c>
      <c r="H35" t="s">
        <v>121</v>
      </c>
      <c r="I35" t="s">
        <v>122</v>
      </c>
      <c r="J35" t="s">
        <v>123</v>
      </c>
      <c r="K35" t="s">
        <v>53</v>
      </c>
      <c r="L35" t="s">
        <v>54</v>
      </c>
      <c r="M35" t="s">
        <v>35</v>
      </c>
      <c r="N35" t="b">
        <v>0</v>
      </c>
      <c r="O35">
        <v>15.71</v>
      </c>
      <c r="P35">
        <v>24.74</v>
      </c>
      <c r="Q35">
        <v>44.23</v>
      </c>
      <c r="R35">
        <v>123.87</v>
      </c>
      <c r="S35">
        <v>15.71</v>
      </c>
      <c r="T35">
        <v>24.74</v>
      </c>
      <c r="U35">
        <v>44.23</v>
      </c>
      <c r="V35">
        <v>123.87</v>
      </c>
      <c r="W35">
        <v>0</v>
      </c>
      <c r="X35">
        <v>0</v>
      </c>
      <c r="Y35">
        <v>0</v>
      </c>
      <c r="Z35">
        <v>0</v>
      </c>
      <c r="AA35" t="str">
        <f t="shared" si="0"/>
        <v>FIRST_MENTION_WITH_TICKERSOBVIOUS_UNIVERSE</v>
      </c>
      <c r="AF35" t="str">
        <v>THESIS_REVERSALRETAIL_PROXY</v>
      </c>
      <c r="AG35" s="2">
        <f>AVERAGEIF($AA:$AA,$AF35,O:O)</f>
        <v>2.5400000000000009</v>
      </c>
      <c r="AH35" s="2">
        <f>AVERAGEIF($AA:$AA,$AF35,P:P)</f>
        <v>35.81</v>
      </c>
      <c r="AI35" s="2">
        <f>AVERAGEIF($AA:$AA,$AF35,Q:Q)</f>
        <v>440.4</v>
      </c>
      <c r="AJ35" s="2">
        <f>AVERAGEIF($AA:$AA,$AF35,R:R)</f>
        <v>953.495</v>
      </c>
      <c r="AK35" s="2">
        <f>AVERAGEIF($AA:$AA,$AF35,S:S)</f>
        <v>6.9950000000000001</v>
      </c>
      <c r="AL35" s="2">
        <f>AVERAGEIF($AA:$AA,$AF35,T:T)</f>
        <v>0.41500000000000004</v>
      </c>
      <c r="AM35" s="2">
        <f>AVERAGEIF($AA:$AA,$AF35,U:U)</f>
        <v>11.265000000000001</v>
      </c>
      <c r="AN35" s="2">
        <f>AVERAGEIF($AA:$AA,$AF35,V:V)</f>
        <v>116.66</v>
      </c>
      <c r="AO35" s="2">
        <f>AVERAGEIF($AA:$AA,$AF35,W:W)</f>
        <v>-4.4550000000000001</v>
      </c>
      <c r="AP35" s="2">
        <f>AVERAGEIF($AA:$AA,$AF35,X:X)</f>
        <v>35.394999999999996</v>
      </c>
      <c r="AQ35" s="2">
        <f>AVERAGEIF($AA:$AA,$AF35,Y:Y)</f>
        <v>429.14</v>
      </c>
      <c r="AR35" s="2">
        <f>AVERAGEIF($AA:$AA,$AF35,Z:Z)</f>
        <v>836.83500000000004</v>
      </c>
      <c r="AT35" s="2">
        <f>COUNTIF(AA:AA,AF35)</f>
        <v>5</v>
      </c>
    </row>
    <row r="36" spans="1:46" x14ac:dyDescent="0.2">
      <c r="A36" s="1">
        <v>45306</v>
      </c>
      <c r="B36" t="s">
        <v>86</v>
      </c>
      <c r="C36" t="s">
        <v>76</v>
      </c>
      <c r="D36" t="s">
        <v>28</v>
      </c>
      <c r="E36">
        <v>3</v>
      </c>
      <c r="F36">
        <v>5</v>
      </c>
      <c r="G36" t="s">
        <v>120</v>
      </c>
      <c r="H36" t="s">
        <v>121</v>
      </c>
      <c r="I36" t="s">
        <v>122</v>
      </c>
      <c r="J36" t="s">
        <v>123</v>
      </c>
      <c r="K36" t="s">
        <v>53</v>
      </c>
      <c r="L36" t="s">
        <v>54</v>
      </c>
      <c r="M36" t="s">
        <v>35</v>
      </c>
      <c r="N36" t="b">
        <v>0</v>
      </c>
      <c r="O36">
        <v>15.71</v>
      </c>
      <c r="P36">
        <v>24.74</v>
      </c>
      <c r="Q36">
        <v>44.23</v>
      </c>
      <c r="R36">
        <v>123.87</v>
      </c>
      <c r="S36">
        <v>15.71</v>
      </c>
      <c r="T36">
        <v>24.74</v>
      </c>
      <c r="U36">
        <v>44.23</v>
      </c>
      <c r="V36">
        <v>123.87</v>
      </c>
      <c r="W36">
        <v>0</v>
      </c>
      <c r="X36">
        <v>0</v>
      </c>
      <c r="Y36">
        <v>0</v>
      </c>
      <c r="Z36">
        <v>0</v>
      </c>
      <c r="AA36" t="str">
        <f t="shared" si="0"/>
        <v>HC_HIGH_PROFILE_VENUEOBVIOUS_UNIVERSE</v>
      </c>
      <c r="AF36" t="str">
        <v>FIRST_HC_NOT_FIRST_MENTIONNO_BASKET</v>
      </c>
      <c r="AG36" s="2" t="e">
        <f>AVERAGEIF($AA:$AA,$AF36,O:O)</f>
        <v>#DIV/0!</v>
      </c>
      <c r="AH36" s="2" t="e">
        <f>AVERAGEIF($AA:$AA,$AF36,P:P)</f>
        <v>#DIV/0!</v>
      </c>
      <c r="AI36" s="2" t="e">
        <f>AVERAGEIF($AA:$AA,$AF36,Q:Q)</f>
        <v>#DIV/0!</v>
      </c>
      <c r="AJ36" s="2" t="e">
        <f>AVERAGEIF($AA:$AA,$AF36,R:R)</f>
        <v>#DIV/0!</v>
      </c>
      <c r="AK36" s="2">
        <f>AVERAGEIF($AA:$AA,$AF36,S:S)</f>
        <v>7.15</v>
      </c>
      <c r="AL36" s="2">
        <f>AVERAGEIF($AA:$AA,$AF36,T:T)</f>
        <v>15.05</v>
      </c>
      <c r="AM36" s="2">
        <f>AVERAGEIF($AA:$AA,$AF36,U:U)</f>
        <v>26.59</v>
      </c>
      <c r="AN36" s="2">
        <f>AVERAGEIF($AA:$AA,$AF36,V:V)</f>
        <v>103.3</v>
      </c>
      <c r="AO36" s="2" t="e">
        <f>AVERAGEIF($AA:$AA,$AF36,W:W)</f>
        <v>#DIV/0!</v>
      </c>
      <c r="AP36" s="2" t="e">
        <f>AVERAGEIF($AA:$AA,$AF36,X:X)</f>
        <v>#DIV/0!</v>
      </c>
      <c r="AQ36" s="2" t="e">
        <f>AVERAGEIF($AA:$AA,$AF36,Y:Y)</f>
        <v>#DIV/0!</v>
      </c>
      <c r="AR36" s="2" t="e">
        <f>AVERAGEIF($AA:$AA,$AF36,Z:Z)</f>
        <v>#DIV/0!</v>
      </c>
      <c r="AT36" s="2">
        <f>COUNTIF(AA:AA,AF36)</f>
        <v>1</v>
      </c>
    </row>
    <row r="37" spans="1:46" x14ac:dyDescent="0.2">
      <c r="A37" s="1">
        <v>45306</v>
      </c>
      <c r="B37" t="s">
        <v>124</v>
      </c>
      <c r="C37" t="s">
        <v>27</v>
      </c>
      <c r="D37" t="s">
        <v>28</v>
      </c>
      <c r="E37">
        <v>1</v>
      </c>
      <c r="F37">
        <v>4</v>
      </c>
      <c r="G37" t="s">
        <v>120</v>
      </c>
      <c r="H37" t="s">
        <v>125</v>
      </c>
      <c r="I37" t="s">
        <v>126</v>
      </c>
      <c r="L37" t="s">
        <v>43</v>
      </c>
      <c r="M37" t="s">
        <v>35</v>
      </c>
      <c r="N37" t="b">
        <v>0</v>
      </c>
      <c r="O37" t="s">
        <v>43</v>
      </c>
      <c r="P37" t="s">
        <v>43</v>
      </c>
      <c r="Q37" t="s">
        <v>43</v>
      </c>
      <c r="R37" t="s">
        <v>43</v>
      </c>
      <c r="S37">
        <v>15.71</v>
      </c>
      <c r="T37">
        <v>24.74</v>
      </c>
      <c r="U37">
        <v>44.23</v>
      </c>
      <c r="V37">
        <v>123.87</v>
      </c>
      <c r="W37" t="s">
        <v>43</v>
      </c>
      <c r="X37" t="s">
        <v>43</v>
      </c>
      <c r="Y37" t="s">
        <v>43</v>
      </c>
      <c r="Z37" t="s">
        <v>43</v>
      </c>
      <c r="AA37" t="str">
        <f t="shared" si="0"/>
        <v>FIRST_MENTION_AND_HCNO_BASKET</v>
      </c>
      <c r="AF37" t="str">
        <v>THESIS_REVERSALOBVIOUS_UNIVERSE</v>
      </c>
      <c r="AG37" s="2">
        <f>AVERAGEIF($AA:$AA,$AF37,O:O)</f>
        <v>12.120000000000003</v>
      </c>
      <c r="AH37" s="2">
        <f>AVERAGEIF($AA:$AA,$AF37,P:P)</f>
        <v>17.313333333333333</v>
      </c>
      <c r="AI37" s="2">
        <f>AVERAGEIF($AA:$AA,$AF37,Q:Q)</f>
        <v>-4.0599999999999996</v>
      </c>
      <c r="AJ37" s="2">
        <f>AVERAGEIF($AA:$AA,$AF37,R:R)</f>
        <v>130.02000000000001</v>
      </c>
      <c r="AK37" s="2">
        <f>AVERAGEIF($AA:$AA,$AF37,S:S)</f>
        <v>1.7999999999999998</v>
      </c>
      <c r="AL37" s="2">
        <f>AVERAGEIF($AA:$AA,$AF37,T:T)</f>
        <v>-1.0666666666666671</v>
      </c>
      <c r="AM37" s="2">
        <f>AVERAGEIF($AA:$AA,$AF37,U:U)</f>
        <v>-4.0599999999999996</v>
      </c>
      <c r="AN37" s="2">
        <f>AVERAGEIF($AA:$AA,$AF37,V:V)</f>
        <v>130.02000000000001</v>
      </c>
      <c r="AO37" s="2">
        <f>AVERAGEIF($AA:$AA,$AF37,W:W)</f>
        <v>10.32</v>
      </c>
      <c r="AP37" s="2">
        <f>AVERAGEIF($AA:$AA,$AF37,X:X)</f>
        <v>18.38</v>
      </c>
      <c r="AQ37" s="2">
        <f>AVERAGEIF($AA:$AA,$AF37,Y:Y)</f>
        <v>0</v>
      </c>
      <c r="AR37" s="2">
        <f>AVERAGEIF($AA:$AA,$AF37,Z:Z)</f>
        <v>0</v>
      </c>
      <c r="AT37" s="2">
        <f>COUNTIF(AA:AA,AF37)</f>
        <v>3</v>
      </c>
    </row>
    <row r="38" spans="1:46" x14ac:dyDescent="0.2">
      <c r="A38" s="1">
        <v>45306</v>
      </c>
      <c r="B38" t="s">
        <v>124</v>
      </c>
      <c r="C38" t="s">
        <v>76</v>
      </c>
      <c r="D38" t="s">
        <v>28</v>
      </c>
      <c r="E38">
        <v>1</v>
      </c>
      <c r="F38">
        <v>4</v>
      </c>
      <c r="G38" t="s">
        <v>120</v>
      </c>
      <c r="H38" t="s">
        <v>125</v>
      </c>
      <c r="I38" t="s">
        <v>126</v>
      </c>
      <c r="L38" t="s">
        <v>43</v>
      </c>
      <c r="M38" t="s">
        <v>35</v>
      </c>
      <c r="N38" t="b">
        <v>0</v>
      </c>
      <c r="O38" t="s">
        <v>43</v>
      </c>
      <c r="P38" t="s">
        <v>43</v>
      </c>
      <c r="Q38" t="s">
        <v>43</v>
      </c>
      <c r="R38" t="s">
        <v>43</v>
      </c>
      <c r="S38">
        <v>15.71</v>
      </c>
      <c r="T38">
        <v>24.74</v>
      </c>
      <c r="U38">
        <v>44.23</v>
      </c>
      <c r="V38">
        <v>123.87</v>
      </c>
      <c r="W38" t="s">
        <v>43</v>
      </c>
      <c r="X38" t="s">
        <v>43</v>
      </c>
      <c r="Y38" t="s">
        <v>43</v>
      </c>
      <c r="Z38" t="s">
        <v>43</v>
      </c>
      <c r="AA38" t="str">
        <f t="shared" si="0"/>
        <v>HC_HIGH_PROFILE_VENUENO_BASKET</v>
      </c>
      <c r="AF38" t="str">
        <v>THIRD_MENTION_WITHIN_1YRBAKER_NAMED</v>
      </c>
      <c r="AG38" s="2">
        <f>AVERAGEIF($AA:$AA,$AF38,O:O)</f>
        <v>-4.58</v>
      </c>
      <c r="AH38" s="2">
        <f>AVERAGEIF($AA:$AA,$AF38,P:P)</f>
        <v>24.67</v>
      </c>
      <c r="AI38" s="2">
        <f>AVERAGEIF($AA:$AA,$AF38,Q:Q)</f>
        <v>50.27</v>
      </c>
      <c r="AJ38" s="2" t="e">
        <f>AVERAGEIF($AA:$AA,$AF38,R:R)</f>
        <v>#DIV/0!</v>
      </c>
      <c r="AK38" s="2">
        <f>AVERAGEIF($AA:$AA,$AF38,S:S)</f>
        <v>10.516666666666667</v>
      </c>
      <c r="AL38" s="2">
        <f>AVERAGEIF($AA:$AA,$AF38,T:T)</f>
        <v>-5.96</v>
      </c>
      <c r="AM38" s="2">
        <f>AVERAGEIF($AA:$AA,$AF38,U:U)</f>
        <v>9.14</v>
      </c>
      <c r="AN38" s="2" t="e">
        <f>AVERAGEIF($AA:$AA,$AF38,V:V)</f>
        <v>#DIV/0!</v>
      </c>
      <c r="AO38" s="2">
        <f>AVERAGEIF($AA:$AA,$AF38,W:W)</f>
        <v>-15.096666666666669</v>
      </c>
      <c r="AP38" s="2">
        <f>AVERAGEIF($AA:$AA,$AF38,X:X)</f>
        <v>30.63</v>
      </c>
      <c r="AQ38" s="2">
        <f>AVERAGEIF($AA:$AA,$AF38,Y:Y)</f>
        <v>41.12</v>
      </c>
      <c r="AR38" s="2" t="e">
        <f>AVERAGEIF($AA:$AA,$AF38,Z:Z)</f>
        <v>#DIV/0!</v>
      </c>
      <c r="AT38" s="2">
        <f>COUNTIF(AA:AA,AF38)</f>
        <v>3</v>
      </c>
    </row>
    <row r="39" spans="1:46" x14ac:dyDescent="0.2">
      <c r="A39" s="1">
        <v>45306</v>
      </c>
      <c r="B39" t="s">
        <v>127</v>
      </c>
      <c r="C39" t="s">
        <v>27</v>
      </c>
      <c r="D39" t="s">
        <v>28</v>
      </c>
      <c r="E39">
        <v>1</v>
      </c>
      <c r="F39">
        <v>4</v>
      </c>
      <c r="G39" t="s">
        <v>120</v>
      </c>
      <c r="H39" t="s">
        <v>128</v>
      </c>
      <c r="I39" t="s">
        <v>129</v>
      </c>
      <c r="J39" t="s">
        <v>106</v>
      </c>
      <c r="K39" t="s">
        <v>106</v>
      </c>
      <c r="L39" t="s">
        <v>49</v>
      </c>
      <c r="M39" t="s">
        <v>35</v>
      </c>
      <c r="N39" t="b">
        <v>0</v>
      </c>
      <c r="O39">
        <v>-14.19</v>
      </c>
      <c r="P39">
        <v>-28.56</v>
      </c>
      <c r="Q39">
        <v>88.18</v>
      </c>
      <c r="R39">
        <v>90.65</v>
      </c>
      <c r="S39">
        <v>15.71</v>
      </c>
      <c r="T39">
        <v>24.74</v>
      </c>
      <c r="U39">
        <v>44.23</v>
      </c>
      <c r="V39">
        <v>123.87</v>
      </c>
      <c r="W39">
        <v>-29.9</v>
      </c>
      <c r="X39">
        <v>-53.29</v>
      </c>
      <c r="Y39">
        <v>43.95</v>
      </c>
      <c r="Z39">
        <v>-33.22</v>
      </c>
      <c r="AA39" t="str">
        <f t="shared" si="0"/>
        <v>FIRST_MENTION_AND_HCBAKER_NAMED</v>
      </c>
      <c r="AF39" t="str">
        <v>THIRD_MENTION_WITHIN_1YRNO_BASKET</v>
      </c>
      <c r="AG39" s="2" t="e">
        <f>AVERAGEIF($AA:$AA,$AF39,O:O)</f>
        <v>#DIV/0!</v>
      </c>
      <c r="AH39" s="2" t="e">
        <f>AVERAGEIF($AA:$AA,$AF39,P:P)</f>
        <v>#DIV/0!</v>
      </c>
      <c r="AI39" s="2" t="e">
        <f>AVERAGEIF($AA:$AA,$AF39,Q:Q)</f>
        <v>#DIV/0!</v>
      </c>
      <c r="AJ39" s="2" t="e">
        <f>AVERAGEIF($AA:$AA,$AF39,R:R)</f>
        <v>#DIV/0!</v>
      </c>
      <c r="AK39" s="2">
        <f>AVERAGEIF($AA:$AA,$AF39,S:S)</f>
        <v>-5.37</v>
      </c>
      <c r="AL39" s="2">
        <f>AVERAGEIF($AA:$AA,$AF39,T:T)</f>
        <v>-5.96</v>
      </c>
      <c r="AM39" s="2">
        <f>AVERAGEIF($AA:$AA,$AF39,U:U)</f>
        <v>9.14</v>
      </c>
      <c r="AN39" s="2" t="e">
        <f>AVERAGEIF($AA:$AA,$AF39,V:V)</f>
        <v>#DIV/0!</v>
      </c>
      <c r="AO39" s="2" t="e">
        <f>AVERAGEIF($AA:$AA,$AF39,W:W)</f>
        <v>#DIV/0!</v>
      </c>
      <c r="AP39" s="2" t="e">
        <f>AVERAGEIF($AA:$AA,$AF39,X:X)</f>
        <v>#DIV/0!</v>
      </c>
      <c r="AQ39" s="2" t="e">
        <f>AVERAGEIF($AA:$AA,$AF39,Y:Y)</f>
        <v>#DIV/0!</v>
      </c>
      <c r="AR39" s="2" t="e">
        <f>AVERAGEIF($AA:$AA,$AF39,Z:Z)</f>
        <v>#DIV/0!</v>
      </c>
      <c r="AT39" s="2">
        <f>COUNTIF(AA:AA,AF39)</f>
        <v>1</v>
      </c>
    </row>
    <row r="40" spans="1:46" x14ac:dyDescent="0.2">
      <c r="A40" s="1">
        <v>45306</v>
      </c>
      <c r="B40" t="s">
        <v>127</v>
      </c>
      <c r="C40" t="s">
        <v>36</v>
      </c>
      <c r="D40" t="s">
        <v>28</v>
      </c>
      <c r="E40">
        <v>1</v>
      </c>
      <c r="F40">
        <v>4</v>
      </c>
      <c r="G40" t="s">
        <v>120</v>
      </c>
      <c r="H40" t="s">
        <v>128</v>
      </c>
      <c r="I40" t="s">
        <v>129</v>
      </c>
      <c r="J40" t="s">
        <v>106</v>
      </c>
      <c r="K40" t="s">
        <v>106</v>
      </c>
      <c r="L40" t="s">
        <v>49</v>
      </c>
      <c r="M40" t="s">
        <v>35</v>
      </c>
      <c r="N40" t="b">
        <v>0</v>
      </c>
      <c r="O40">
        <v>-14.19</v>
      </c>
      <c r="P40">
        <v>-28.56</v>
      </c>
      <c r="Q40">
        <v>88.18</v>
      </c>
      <c r="R40">
        <v>90.65</v>
      </c>
      <c r="S40">
        <v>15.71</v>
      </c>
      <c r="T40">
        <v>24.74</v>
      </c>
      <c r="U40">
        <v>44.23</v>
      </c>
      <c r="V40">
        <v>123.87</v>
      </c>
      <c r="W40">
        <v>-29.9</v>
      </c>
      <c r="X40">
        <v>-53.29</v>
      </c>
      <c r="Y40">
        <v>43.95</v>
      </c>
      <c r="Z40">
        <v>-33.22</v>
      </c>
      <c r="AA40" t="str">
        <f t="shared" si="0"/>
        <v>FIRST_MENTION_WITH_TICKERSBAKER_NAMED</v>
      </c>
      <c r="AF40" t="str">
        <v>THIRD_MENTION_WITHIN_1YROBVIOUS_UNIVERSE</v>
      </c>
      <c r="AG40" s="2">
        <f>AVERAGEIF($AA:$AA,$AF40,O:O)</f>
        <v>1.8333333333333339</v>
      </c>
      <c r="AH40" s="2">
        <f>AVERAGEIF($AA:$AA,$AF40,P:P)</f>
        <v>-20.240000000000002</v>
      </c>
      <c r="AI40" s="2">
        <f>AVERAGEIF($AA:$AA,$AF40,Q:Q)</f>
        <v>62.010000000000005</v>
      </c>
      <c r="AJ40" s="2" t="e">
        <f>AVERAGEIF($AA:$AA,$AF40,R:R)</f>
        <v>#DIV/0!</v>
      </c>
      <c r="AK40" s="2">
        <f>AVERAGEIF($AA:$AA,$AF40,S:S)</f>
        <v>4.9300000000000006</v>
      </c>
      <c r="AL40" s="2">
        <f>AVERAGEIF($AA:$AA,$AF40,T:T)</f>
        <v>-20.615000000000002</v>
      </c>
      <c r="AM40" s="2">
        <f>AVERAGEIF($AA:$AA,$AF40,U:U)</f>
        <v>48.74</v>
      </c>
      <c r="AN40" s="2" t="e">
        <f>AVERAGEIF($AA:$AA,$AF40,V:V)</f>
        <v>#DIV/0!</v>
      </c>
      <c r="AO40" s="2">
        <f>AVERAGEIF($AA:$AA,$AF40,W:W)</f>
        <v>-3.0966666666666662</v>
      </c>
      <c r="AP40" s="2">
        <f>AVERAGEIF($AA:$AA,$AF40,X:X)</f>
        <v>0.375</v>
      </c>
      <c r="AQ40" s="2">
        <f>AVERAGEIF($AA:$AA,$AF40,Y:Y)</f>
        <v>13.265000000000001</v>
      </c>
      <c r="AR40" s="2" t="e">
        <f>AVERAGEIF($AA:$AA,$AF40,Z:Z)</f>
        <v>#DIV/0!</v>
      </c>
      <c r="AT40" s="2">
        <f>COUNTIF(AA:AA,AF40)</f>
        <v>3</v>
      </c>
    </row>
    <row r="41" spans="1:46" x14ac:dyDescent="0.2">
      <c r="A41" s="1">
        <v>45306</v>
      </c>
      <c r="B41" t="s">
        <v>127</v>
      </c>
      <c r="C41" t="s">
        <v>76</v>
      </c>
      <c r="D41" t="s">
        <v>28</v>
      </c>
      <c r="E41">
        <v>1</v>
      </c>
      <c r="F41">
        <v>4</v>
      </c>
      <c r="G41" t="s">
        <v>120</v>
      </c>
      <c r="H41" t="s">
        <v>128</v>
      </c>
      <c r="I41" t="s">
        <v>129</v>
      </c>
      <c r="J41" t="s">
        <v>106</v>
      </c>
      <c r="K41" t="s">
        <v>106</v>
      </c>
      <c r="L41" t="s">
        <v>49</v>
      </c>
      <c r="M41" t="s">
        <v>35</v>
      </c>
      <c r="N41" t="b">
        <v>0</v>
      </c>
      <c r="O41">
        <v>-14.19</v>
      </c>
      <c r="P41">
        <v>-28.56</v>
      </c>
      <c r="Q41">
        <v>88.18</v>
      </c>
      <c r="R41">
        <v>90.65</v>
      </c>
      <c r="S41">
        <v>15.71</v>
      </c>
      <c r="T41">
        <v>24.74</v>
      </c>
      <c r="U41">
        <v>44.23</v>
      </c>
      <c r="V41">
        <v>123.87</v>
      </c>
      <c r="W41">
        <v>-29.9</v>
      </c>
      <c r="X41">
        <v>-53.29</v>
      </c>
      <c r="Y41">
        <v>43.95</v>
      </c>
      <c r="Z41">
        <v>-33.22</v>
      </c>
      <c r="AA41" t="str">
        <f t="shared" si="0"/>
        <v>HC_HIGH_PROFILE_VENUEBAKER_NAMED</v>
      </c>
      <c r="AF41" t="str">
        <v>THESIS_REVERSALNO_BASKET</v>
      </c>
      <c r="AG41" s="2" t="e">
        <f>AVERAGEIF($AA:$AA,$AF41,O:O)</f>
        <v>#DIV/0!</v>
      </c>
      <c r="AH41" s="2" t="e">
        <f>AVERAGEIF($AA:$AA,$AF41,P:P)</f>
        <v>#DIV/0!</v>
      </c>
      <c r="AI41" s="2" t="e">
        <f>AVERAGEIF($AA:$AA,$AF41,Q:Q)</f>
        <v>#DIV/0!</v>
      </c>
      <c r="AJ41" s="2" t="e">
        <f>AVERAGEIF($AA:$AA,$AF41,R:R)</f>
        <v>#DIV/0!</v>
      </c>
      <c r="AK41" s="2">
        <f>AVERAGEIF($AA:$AA,$AF41,S:S)</f>
        <v>0.9</v>
      </c>
      <c r="AL41" s="2">
        <f>AVERAGEIF($AA:$AA,$AF41,T:T)</f>
        <v>-10.38</v>
      </c>
      <c r="AM41" s="2">
        <f>AVERAGEIF($AA:$AA,$AF41,U:U)</f>
        <v>51.39</v>
      </c>
      <c r="AN41" s="2" t="e">
        <f>AVERAGEIF($AA:$AA,$AF41,V:V)</f>
        <v>#DIV/0!</v>
      </c>
      <c r="AO41" s="2" t="e">
        <f>AVERAGEIF($AA:$AA,$AF41,W:W)</f>
        <v>#DIV/0!</v>
      </c>
      <c r="AP41" s="2" t="e">
        <f>AVERAGEIF($AA:$AA,$AF41,X:X)</f>
        <v>#DIV/0!</v>
      </c>
      <c r="AQ41" s="2" t="e">
        <f>AVERAGEIF($AA:$AA,$AF41,Y:Y)</f>
        <v>#DIV/0!</v>
      </c>
      <c r="AR41" s="2" t="e">
        <f>AVERAGEIF($AA:$AA,$AF41,Z:Z)</f>
        <v>#DIV/0!</v>
      </c>
      <c r="AT41" s="2">
        <f>COUNTIF(AA:AA,AF41)</f>
        <v>1</v>
      </c>
    </row>
    <row r="42" spans="1:46" x14ac:dyDescent="0.2">
      <c r="A42" s="1">
        <v>45306</v>
      </c>
      <c r="B42" t="s">
        <v>112</v>
      </c>
      <c r="C42" t="s">
        <v>100</v>
      </c>
      <c r="D42" t="s">
        <v>28</v>
      </c>
      <c r="E42">
        <v>2</v>
      </c>
      <c r="F42">
        <v>8</v>
      </c>
      <c r="G42" t="s">
        <v>120</v>
      </c>
      <c r="H42" t="s">
        <v>125</v>
      </c>
      <c r="I42" t="s">
        <v>126</v>
      </c>
      <c r="K42" t="s">
        <v>130</v>
      </c>
      <c r="L42" t="s">
        <v>49</v>
      </c>
      <c r="M42" t="s">
        <v>35</v>
      </c>
      <c r="N42" t="b">
        <v>0</v>
      </c>
      <c r="O42">
        <v>14.98</v>
      </c>
      <c r="P42">
        <v>-3.75</v>
      </c>
      <c r="Q42">
        <v>82.57</v>
      </c>
      <c r="R42">
        <v>427.67</v>
      </c>
      <c r="S42">
        <v>15.71</v>
      </c>
      <c r="T42">
        <v>24.74</v>
      </c>
      <c r="U42">
        <v>44.23</v>
      </c>
      <c r="V42">
        <v>123.87</v>
      </c>
      <c r="W42">
        <v>-0.73</v>
      </c>
      <c r="X42">
        <v>-28.48</v>
      </c>
      <c r="Y42">
        <v>38.35</v>
      </c>
      <c r="Z42">
        <v>303.8</v>
      </c>
      <c r="AA42" t="str">
        <f t="shared" si="0"/>
        <v>FIRST_HC_NOT_FIRST_MENTIONBAKER_NAMED</v>
      </c>
      <c r="AF42" t="str">
        <v>FIRST_MENTIONOBVIOUS_UNIVERSE</v>
      </c>
      <c r="AG42" s="2">
        <f>AVERAGEIF($AA:$AA,$AF42,O:O)</f>
        <v>5.81</v>
      </c>
      <c r="AH42" s="2">
        <f>AVERAGEIF($AA:$AA,$AF42,P:P)</f>
        <v>5.51</v>
      </c>
      <c r="AI42" s="2" t="e">
        <f>AVERAGEIF($AA:$AA,$AF42,Q:Q)</f>
        <v>#DIV/0!</v>
      </c>
      <c r="AJ42" s="2" t="e">
        <f>AVERAGEIF($AA:$AA,$AF42,R:R)</f>
        <v>#DIV/0!</v>
      </c>
      <c r="AK42" s="2">
        <f>AVERAGEIF($AA:$AA,$AF42,S:S)</f>
        <v>5.81</v>
      </c>
      <c r="AL42" s="2">
        <f>AVERAGEIF($AA:$AA,$AF42,T:T)</f>
        <v>5.51</v>
      </c>
      <c r="AM42" s="2" t="e">
        <f>AVERAGEIF($AA:$AA,$AF42,U:U)</f>
        <v>#DIV/0!</v>
      </c>
      <c r="AN42" s="2" t="e">
        <f>AVERAGEIF($AA:$AA,$AF42,V:V)</f>
        <v>#DIV/0!</v>
      </c>
      <c r="AO42" s="2">
        <f>AVERAGEIF($AA:$AA,$AF42,W:W)</f>
        <v>0</v>
      </c>
      <c r="AP42" s="2">
        <f>AVERAGEIF($AA:$AA,$AF42,X:X)</f>
        <v>0</v>
      </c>
      <c r="AQ42" s="2" t="e">
        <f>AVERAGEIF($AA:$AA,$AF42,Y:Y)</f>
        <v>#DIV/0!</v>
      </c>
      <c r="AR42" s="2" t="e">
        <f>AVERAGEIF($AA:$AA,$AF42,Z:Z)</f>
        <v>#DIV/0!</v>
      </c>
      <c r="AT42" s="2">
        <f>COUNTIF(AA:AA,AF42)</f>
        <v>1</v>
      </c>
    </row>
    <row r="43" spans="1:46" x14ac:dyDescent="0.2">
      <c r="A43" s="1">
        <v>45306</v>
      </c>
      <c r="B43" t="s">
        <v>112</v>
      </c>
      <c r="C43" t="s">
        <v>76</v>
      </c>
      <c r="D43" t="s">
        <v>28</v>
      </c>
      <c r="E43">
        <v>2</v>
      </c>
      <c r="F43">
        <v>8</v>
      </c>
      <c r="G43" t="s">
        <v>120</v>
      </c>
      <c r="H43" t="s">
        <v>125</v>
      </c>
      <c r="I43" t="s">
        <v>126</v>
      </c>
      <c r="K43" t="s">
        <v>130</v>
      </c>
      <c r="L43" t="s">
        <v>49</v>
      </c>
      <c r="M43" t="s">
        <v>35</v>
      </c>
      <c r="N43" t="b">
        <v>0</v>
      </c>
      <c r="O43">
        <v>14.98</v>
      </c>
      <c r="P43">
        <v>-3.75</v>
      </c>
      <c r="Q43">
        <v>82.57</v>
      </c>
      <c r="R43">
        <v>427.67</v>
      </c>
      <c r="S43">
        <v>15.71</v>
      </c>
      <c r="T43">
        <v>24.74</v>
      </c>
      <c r="U43">
        <v>44.23</v>
      </c>
      <c r="V43">
        <v>123.87</v>
      </c>
      <c r="W43">
        <v>-0.73</v>
      </c>
      <c r="X43">
        <v>-28.48</v>
      </c>
      <c r="Y43">
        <v>38.35</v>
      </c>
      <c r="Z43">
        <v>303.8</v>
      </c>
      <c r="AA43" t="str">
        <f t="shared" si="0"/>
        <v>HC_HIGH_PROFILE_VENUEBAKER_NAMED</v>
      </c>
      <c r="AF43" t="str">
        <v>FIRST_MENTION_WITH_TICKERSRETAIL_PROXY</v>
      </c>
      <c r="AG43" s="2">
        <f>AVERAGEIF($AA:$AA,$AF43,O:O)</f>
        <v>9.26</v>
      </c>
      <c r="AH43" s="2">
        <f>AVERAGEIF($AA:$AA,$AF43,P:P)</f>
        <v>67.209999999999994</v>
      </c>
      <c r="AI43" s="2" t="e">
        <f>AVERAGEIF($AA:$AA,$AF43,Q:Q)</f>
        <v>#DIV/0!</v>
      </c>
      <c r="AJ43" s="2" t="e">
        <f>AVERAGEIF($AA:$AA,$AF43,R:R)</f>
        <v>#DIV/0!</v>
      </c>
      <c r="AK43" s="2">
        <f>AVERAGEIF($AA:$AA,$AF43,S:S)</f>
        <v>-3.4</v>
      </c>
      <c r="AL43" s="2">
        <f>AVERAGEIF($AA:$AA,$AF43,T:T)</f>
        <v>34.020000000000003</v>
      </c>
      <c r="AM43" s="2" t="e">
        <f>AVERAGEIF($AA:$AA,$AF43,U:U)</f>
        <v>#DIV/0!</v>
      </c>
      <c r="AN43" s="2" t="e">
        <f>AVERAGEIF($AA:$AA,$AF43,V:V)</f>
        <v>#DIV/0!</v>
      </c>
      <c r="AO43" s="2">
        <f>AVERAGEIF($AA:$AA,$AF43,W:W)</f>
        <v>12.66</v>
      </c>
      <c r="AP43" s="2">
        <f>AVERAGEIF($AA:$AA,$AF43,X:X)</f>
        <v>33.19</v>
      </c>
      <c r="AQ43" s="2" t="e">
        <f>AVERAGEIF($AA:$AA,$AF43,Y:Y)</f>
        <v>#DIV/0!</v>
      </c>
      <c r="AR43" s="2" t="e">
        <f>AVERAGEIF($AA:$AA,$AF43,Z:Z)</f>
        <v>#DIV/0!</v>
      </c>
      <c r="AT43" s="2">
        <f>COUNTIF(AA:AA,AF43)</f>
        <v>1</v>
      </c>
    </row>
    <row r="44" spans="1:46" x14ac:dyDescent="0.2">
      <c r="A44" s="1">
        <v>45306</v>
      </c>
      <c r="B44" t="s">
        <v>131</v>
      </c>
      <c r="C44" t="s">
        <v>38</v>
      </c>
      <c r="D44" t="s">
        <v>39</v>
      </c>
      <c r="E44">
        <v>1</v>
      </c>
      <c r="F44">
        <v>8</v>
      </c>
      <c r="G44" t="s">
        <v>120</v>
      </c>
      <c r="H44" t="s">
        <v>132</v>
      </c>
      <c r="I44" t="s">
        <v>133</v>
      </c>
      <c r="K44" t="s">
        <v>134</v>
      </c>
      <c r="L44" t="s">
        <v>102</v>
      </c>
      <c r="M44" t="s">
        <v>35</v>
      </c>
      <c r="N44" t="b">
        <v>1</v>
      </c>
      <c r="O44">
        <v>19.53</v>
      </c>
      <c r="P44">
        <v>10.55</v>
      </c>
      <c r="Q44">
        <v>466.82</v>
      </c>
      <c r="R44">
        <v>1332.24</v>
      </c>
      <c r="S44">
        <v>15.71</v>
      </c>
      <c r="T44">
        <v>24.74</v>
      </c>
      <c r="U44">
        <v>44.23</v>
      </c>
      <c r="V44">
        <v>123.87</v>
      </c>
      <c r="W44">
        <v>3.82</v>
      </c>
      <c r="X44">
        <v>-14.19</v>
      </c>
      <c r="Y44">
        <v>422.59</v>
      </c>
      <c r="Z44">
        <v>1208.3699999999999</v>
      </c>
      <c r="AA44" t="str">
        <f t="shared" si="0"/>
        <v>FIRST_MENTIONRETAIL_PROXY</v>
      </c>
      <c r="AF44" t="str">
        <v>FIRST_HC_NOT_FIRST_MENTIONOBVIOUS_UNIVERSE</v>
      </c>
      <c r="AG44" s="2">
        <f>AVERAGEIF($AA:$AA,$AF44,O:O)</f>
        <v>8.59</v>
      </c>
      <c r="AH44" s="2" t="e">
        <f>AVERAGEIF($AA:$AA,$AF44,P:P)</f>
        <v>#DIV/0!</v>
      </c>
      <c r="AI44" s="2" t="e">
        <f>AVERAGEIF($AA:$AA,$AF44,Q:Q)</f>
        <v>#DIV/0!</v>
      </c>
      <c r="AJ44" s="2" t="e">
        <f>AVERAGEIF($AA:$AA,$AF44,R:R)</f>
        <v>#DIV/0!</v>
      </c>
      <c r="AK44" s="2">
        <f>AVERAGEIF($AA:$AA,$AF44,S:S)</f>
        <v>8.59</v>
      </c>
      <c r="AL44" s="2" t="e">
        <f>AVERAGEIF($AA:$AA,$AF44,T:T)</f>
        <v>#DIV/0!</v>
      </c>
      <c r="AM44" s="2" t="e">
        <f>AVERAGEIF($AA:$AA,$AF44,U:U)</f>
        <v>#DIV/0!</v>
      </c>
      <c r="AN44" s="2" t="e">
        <f>AVERAGEIF($AA:$AA,$AF44,V:V)</f>
        <v>#DIV/0!</v>
      </c>
      <c r="AO44" s="2">
        <f>AVERAGEIF($AA:$AA,$AF44,W:W)</f>
        <v>0</v>
      </c>
      <c r="AP44" s="2" t="e">
        <f>AVERAGEIF($AA:$AA,$AF44,X:X)</f>
        <v>#DIV/0!</v>
      </c>
      <c r="AQ44" s="2" t="e">
        <f>AVERAGEIF($AA:$AA,$AF44,Y:Y)</f>
        <v>#DIV/0!</v>
      </c>
      <c r="AR44" s="2" t="e">
        <f>AVERAGEIF($AA:$AA,$AF44,Z:Z)</f>
        <v>#DIV/0!</v>
      </c>
      <c r="AT44" s="2">
        <f>COUNTIF(AA:AA,AF44)</f>
        <v>1</v>
      </c>
    </row>
    <row r="45" spans="1:46" x14ac:dyDescent="0.2">
      <c r="A45" s="1">
        <v>45306</v>
      </c>
      <c r="B45" t="s">
        <v>116</v>
      </c>
      <c r="C45" t="s">
        <v>36</v>
      </c>
      <c r="D45" t="s">
        <v>28</v>
      </c>
      <c r="E45">
        <v>2</v>
      </c>
      <c r="F45">
        <v>5</v>
      </c>
      <c r="G45" t="s">
        <v>120</v>
      </c>
      <c r="H45" t="s">
        <v>135</v>
      </c>
      <c r="I45" t="s">
        <v>136</v>
      </c>
      <c r="J45" t="s">
        <v>137</v>
      </c>
      <c r="K45" t="s">
        <v>119</v>
      </c>
      <c r="L45" t="s">
        <v>34</v>
      </c>
      <c r="M45" t="s">
        <v>65</v>
      </c>
      <c r="N45" t="b">
        <v>0</v>
      </c>
      <c r="O45">
        <v>-8.57</v>
      </c>
      <c r="P45">
        <v>4.29</v>
      </c>
      <c r="Q45">
        <v>-17.3</v>
      </c>
      <c r="R45">
        <v>23.69</v>
      </c>
      <c r="S45">
        <v>15.71</v>
      </c>
      <c r="T45">
        <v>24.74</v>
      </c>
      <c r="U45">
        <v>44.23</v>
      </c>
      <c r="V45">
        <v>123.87</v>
      </c>
      <c r="W45">
        <v>-24.28</v>
      </c>
      <c r="X45">
        <v>-20.45</v>
      </c>
      <c r="Y45">
        <v>-61.53</v>
      </c>
      <c r="Z45">
        <v>-100.18</v>
      </c>
      <c r="AA45" t="str">
        <f t="shared" si="0"/>
        <v>FIRST_MENTION_WITH_TICKERSCONSTRUCTED</v>
      </c>
    </row>
    <row r="46" spans="1:46" x14ac:dyDescent="0.2">
      <c r="A46" s="1">
        <v>45306</v>
      </c>
      <c r="B46" t="s">
        <v>116</v>
      </c>
      <c r="C46" t="s">
        <v>76</v>
      </c>
      <c r="D46" t="s">
        <v>28</v>
      </c>
      <c r="E46">
        <v>2</v>
      </c>
      <c r="F46">
        <v>5</v>
      </c>
      <c r="G46" t="s">
        <v>120</v>
      </c>
      <c r="H46" t="s">
        <v>135</v>
      </c>
      <c r="I46" t="s">
        <v>136</v>
      </c>
      <c r="J46" t="s">
        <v>137</v>
      </c>
      <c r="K46" t="s">
        <v>119</v>
      </c>
      <c r="L46" t="s">
        <v>34</v>
      </c>
      <c r="M46" t="s">
        <v>65</v>
      </c>
      <c r="N46" t="b">
        <v>0</v>
      </c>
      <c r="O46">
        <v>-8.57</v>
      </c>
      <c r="P46">
        <v>4.29</v>
      </c>
      <c r="Q46">
        <v>-17.3</v>
      </c>
      <c r="R46">
        <v>23.69</v>
      </c>
      <c r="S46">
        <v>15.71</v>
      </c>
      <c r="T46">
        <v>24.74</v>
      </c>
      <c r="U46">
        <v>44.23</v>
      </c>
      <c r="V46">
        <v>123.87</v>
      </c>
      <c r="W46">
        <v>-24.28</v>
      </c>
      <c r="X46">
        <v>-20.45</v>
      </c>
      <c r="Y46">
        <v>-61.53</v>
      </c>
      <c r="Z46">
        <v>-100.18</v>
      </c>
      <c r="AA46" t="str">
        <f t="shared" si="0"/>
        <v>HC_HIGH_PROFILE_VENUECONSTRUCTED</v>
      </c>
    </row>
    <row r="47" spans="1:46" x14ac:dyDescent="0.2">
      <c r="A47" s="1">
        <v>45306</v>
      </c>
      <c r="B47" t="s">
        <v>138</v>
      </c>
      <c r="C47" t="s">
        <v>38</v>
      </c>
      <c r="D47" t="s">
        <v>39</v>
      </c>
      <c r="E47">
        <v>1</v>
      </c>
      <c r="F47">
        <v>7</v>
      </c>
      <c r="G47" t="s">
        <v>120</v>
      </c>
      <c r="H47" t="s">
        <v>139</v>
      </c>
      <c r="I47" t="s">
        <v>140</v>
      </c>
      <c r="L47" t="s">
        <v>43</v>
      </c>
      <c r="M47" t="s">
        <v>35</v>
      </c>
      <c r="N47" t="b">
        <v>0</v>
      </c>
      <c r="O47" t="s">
        <v>43</v>
      </c>
      <c r="P47" t="s">
        <v>43</v>
      </c>
      <c r="Q47" t="s">
        <v>43</v>
      </c>
      <c r="R47" t="s">
        <v>43</v>
      </c>
      <c r="S47">
        <v>15.71</v>
      </c>
      <c r="T47">
        <v>24.74</v>
      </c>
      <c r="U47">
        <v>44.23</v>
      </c>
      <c r="V47">
        <v>123.87</v>
      </c>
      <c r="W47" t="s">
        <v>43</v>
      </c>
      <c r="X47" t="s">
        <v>43</v>
      </c>
      <c r="Y47" t="s">
        <v>43</v>
      </c>
      <c r="Z47" t="s">
        <v>43</v>
      </c>
      <c r="AA47" t="str">
        <f t="shared" si="0"/>
        <v>FIRST_MENTIONNO_BASKET</v>
      </c>
    </row>
    <row r="48" spans="1:46" x14ac:dyDescent="0.2">
      <c r="A48" s="1">
        <v>45336</v>
      </c>
      <c r="B48" t="s">
        <v>141</v>
      </c>
      <c r="C48" t="s">
        <v>27</v>
      </c>
      <c r="D48" t="s">
        <v>28</v>
      </c>
      <c r="E48">
        <v>1</v>
      </c>
      <c r="F48">
        <v>6</v>
      </c>
      <c r="G48" t="s">
        <v>142</v>
      </c>
      <c r="H48" t="s">
        <v>143</v>
      </c>
      <c r="I48" t="s">
        <v>144</v>
      </c>
      <c r="J48" t="s">
        <v>145</v>
      </c>
      <c r="K48" t="s">
        <v>146</v>
      </c>
      <c r="L48" t="s">
        <v>54</v>
      </c>
      <c r="M48" t="s">
        <v>35</v>
      </c>
      <c r="N48" t="b">
        <v>0</v>
      </c>
      <c r="O48">
        <v>3.25</v>
      </c>
      <c r="P48">
        <v>9.76</v>
      </c>
      <c r="Q48">
        <v>-3.3</v>
      </c>
      <c r="R48">
        <v>114.07</v>
      </c>
      <c r="S48">
        <v>7.15</v>
      </c>
      <c r="T48">
        <v>15.05</v>
      </c>
      <c r="U48">
        <v>26.59</v>
      </c>
      <c r="V48">
        <v>103.3</v>
      </c>
      <c r="W48">
        <v>-3.9</v>
      </c>
      <c r="X48">
        <v>-5.29</v>
      </c>
      <c r="Y48">
        <v>-29.89</v>
      </c>
      <c r="Z48">
        <v>10.78</v>
      </c>
      <c r="AA48" t="str">
        <f t="shared" si="0"/>
        <v>FIRST_MENTION_AND_HCOBVIOUS_UNIVERSE</v>
      </c>
    </row>
    <row r="49" spans="1:29" x14ac:dyDescent="0.2">
      <c r="A49" s="1">
        <v>45336</v>
      </c>
      <c r="B49" t="s">
        <v>141</v>
      </c>
      <c r="C49" t="s">
        <v>36</v>
      </c>
      <c r="D49" t="s">
        <v>28</v>
      </c>
      <c r="E49">
        <v>1</v>
      </c>
      <c r="F49">
        <v>6</v>
      </c>
      <c r="G49" t="s">
        <v>142</v>
      </c>
      <c r="H49" t="s">
        <v>143</v>
      </c>
      <c r="I49" t="s">
        <v>144</v>
      </c>
      <c r="J49" t="s">
        <v>145</v>
      </c>
      <c r="K49" t="s">
        <v>146</v>
      </c>
      <c r="L49" t="s">
        <v>54</v>
      </c>
      <c r="M49" t="s">
        <v>35</v>
      </c>
      <c r="N49" t="b">
        <v>0</v>
      </c>
      <c r="O49">
        <v>3.25</v>
      </c>
      <c r="P49">
        <v>9.76</v>
      </c>
      <c r="Q49">
        <v>-3.3</v>
      </c>
      <c r="R49">
        <v>114.07</v>
      </c>
      <c r="S49">
        <v>7.15</v>
      </c>
      <c r="T49">
        <v>15.05</v>
      </c>
      <c r="U49">
        <v>26.59</v>
      </c>
      <c r="V49">
        <v>103.3</v>
      </c>
      <c r="W49">
        <v>-3.9</v>
      </c>
      <c r="X49">
        <v>-5.29</v>
      </c>
      <c r="Y49">
        <v>-29.89</v>
      </c>
      <c r="Z49">
        <v>10.78</v>
      </c>
      <c r="AA49" t="str">
        <f t="shared" si="0"/>
        <v>FIRST_MENTION_WITH_TICKERSOBVIOUS_UNIVERSE</v>
      </c>
    </row>
    <row r="50" spans="1:29" x14ac:dyDescent="0.2">
      <c r="A50" s="1">
        <v>45336</v>
      </c>
      <c r="B50" t="s">
        <v>147</v>
      </c>
      <c r="C50" t="s">
        <v>38</v>
      </c>
      <c r="D50" t="s">
        <v>39</v>
      </c>
      <c r="E50">
        <v>1</v>
      </c>
      <c r="F50">
        <v>2</v>
      </c>
      <c r="G50" t="s">
        <v>142</v>
      </c>
      <c r="H50" t="s">
        <v>148</v>
      </c>
      <c r="I50" t="s">
        <v>149</v>
      </c>
      <c r="K50" t="s">
        <v>150</v>
      </c>
      <c r="L50" t="s">
        <v>34</v>
      </c>
      <c r="M50" t="s">
        <v>111</v>
      </c>
      <c r="N50" t="b">
        <v>0</v>
      </c>
      <c r="O50">
        <v>1.45</v>
      </c>
      <c r="P50">
        <v>15.11</v>
      </c>
      <c r="Q50">
        <v>24.2</v>
      </c>
      <c r="R50">
        <v>19.23</v>
      </c>
      <c r="S50">
        <v>7.15</v>
      </c>
      <c r="T50">
        <v>15.05</v>
      </c>
      <c r="U50">
        <v>26.59</v>
      </c>
      <c r="V50">
        <v>103.3</v>
      </c>
      <c r="W50">
        <v>-5.7</v>
      </c>
      <c r="X50">
        <v>0.06</v>
      </c>
      <c r="Y50">
        <v>-2.39</v>
      </c>
      <c r="Z50">
        <v>-84.06</v>
      </c>
      <c r="AA50" t="str">
        <f t="shared" si="0"/>
        <v>FIRST_MENTIONCONSTRUCTED</v>
      </c>
      <c r="AC50" t="s">
        <v>357</v>
      </c>
    </row>
    <row r="51" spans="1:29" x14ac:dyDescent="0.2">
      <c r="A51" s="1">
        <v>45336</v>
      </c>
      <c r="B51" t="s">
        <v>151</v>
      </c>
      <c r="C51" t="s">
        <v>27</v>
      </c>
      <c r="D51" t="s">
        <v>28</v>
      </c>
      <c r="E51">
        <v>1</v>
      </c>
      <c r="F51">
        <v>5</v>
      </c>
      <c r="G51" t="s">
        <v>142</v>
      </c>
      <c r="H51" t="s">
        <v>152</v>
      </c>
      <c r="I51" t="s">
        <v>153</v>
      </c>
      <c r="J51" t="s">
        <v>154</v>
      </c>
      <c r="K51" t="s">
        <v>155</v>
      </c>
      <c r="L51" t="s">
        <v>54</v>
      </c>
      <c r="M51" t="s">
        <v>35</v>
      </c>
      <c r="N51" t="b">
        <v>0</v>
      </c>
      <c r="O51">
        <v>-3.26</v>
      </c>
      <c r="P51">
        <v>18.21</v>
      </c>
      <c r="Q51">
        <v>26.38</v>
      </c>
      <c r="R51">
        <v>109.08</v>
      </c>
      <c r="S51">
        <v>7.15</v>
      </c>
      <c r="T51">
        <v>15.05</v>
      </c>
      <c r="U51">
        <v>26.59</v>
      </c>
      <c r="V51">
        <v>103.3</v>
      </c>
      <c r="W51">
        <v>-10.41</v>
      </c>
      <c r="X51">
        <v>3.15</v>
      </c>
      <c r="Y51">
        <v>-0.21</v>
      </c>
      <c r="Z51">
        <v>5.79</v>
      </c>
      <c r="AA51" t="str">
        <f t="shared" si="0"/>
        <v>FIRST_MENTION_AND_HCOBVIOUS_UNIVERSE</v>
      </c>
      <c r="AC51" t="s">
        <v>353</v>
      </c>
    </row>
    <row r="52" spans="1:29" x14ac:dyDescent="0.2">
      <c r="A52" s="1">
        <v>45336</v>
      </c>
      <c r="B52" t="s">
        <v>151</v>
      </c>
      <c r="C52" t="s">
        <v>36</v>
      </c>
      <c r="D52" t="s">
        <v>28</v>
      </c>
      <c r="E52">
        <v>1</v>
      </c>
      <c r="F52">
        <v>5</v>
      </c>
      <c r="G52" t="s">
        <v>142</v>
      </c>
      <c r="H52" t="s">
        <v>152</v>
      </c>
      <c r="I52" t="s">
        <v>153</v>
      </c>
      <c r="J52" t="s">
        <v>154</v>
      </c>
      <c r="K52" t="s">
        <v>155</v>
      </c>
      <c r="L52" t="s">
        <v>54</v>
      </c>
      <c r="M52" t="s">
        <v>35</v>
      </c>
      <c r="N52" t="b">
        <v>0</v>
      </c>
      <c r="O52">
        <v>-3.26</v>
      </c>
      <c r="P52">
        <v>18.21</v>
      </c>
      <c r="Q52">
        <v>26.38</v>
      </c>
      <c r="R52">
        <v>109.08</v>
      </c>
      <c r="S52">
        <v>7.15</v>
      </c>
      <c r="T52">
        <v>15.05</v>
      </c>
      <c r="U52">
        <v>26.59</v>
      </c>
      <c r="V52">
        <v>103.3</v>
      </c>
      <c r="W52">
        <v>-10.41</v>
      </c>
      <c r="X52">
        <v>3.15</v>
      </c>
      <c r="Y52">
        <v>-0.21</v>
      </c>
      <c r="Z52">
        <v>5.79</v>
      </c>
      <c r="AA52" t="str">
        <f t="shared" si="0"/>
        <v>FIRST_MENTION_WITH_TICKERSOBVIOUS_UNIVERSE</v>
      </c>
      <c r="AC52" t="s">
        <v>353</v>
      </c>
    </row>
    <row r="53" spans="1:29" x14ac:dyDescent="0.2">
      <c r="A53" s="1">
        <v>45336</v>
      </c>
      <c r="B53" t="s">
        <v>82</v>
      </c>
      <c r="C53" t="s">
        <v>66</v>
      </c>
      <c r="D53" t="s">
        <v>28</v>
      </c>
      <c r="E53">
        <v>3</v>
      </c>
      <c r="F53">
        <v>9</v>
      </c>
      <c r="G53" t="s">
        <v>142</v>
      </c>
      <c r="H53" t="s">
        <v>156</v>
      </c>
      <c r="I53" t="s">
        <v>157</v>
      </c>
      <c r="K53" t="s">
        <v>134</v>
      </c>
      <c r="L53" t="s">
        <v>102</v>
      </c>
      <c r="M53" t="s">
        <v>35</v>
      </c>
      <c r="N53" t="b">
        <v>1</v>
      </c>
      <c r="O53">
        <v>0.49</v>
      </c>
      <c r="P53">
        <v>8.1199999999999992</v>
      </c>
      <c r="Q53">
        <v>574.76</v>
      </c>
      <c r="R53">
        <v>1112.2</v>
      </c>
      <c r="S53">
        <v>7.15</v>
      </c>
      <c r="T53">
        <v>15.05</v>
      </c>
      <c r="U53">
        <v>26.59</v>
      </c>
      <c r="V53">
        <v>103.3</v>
      </c>
      <c r="W53">
        <v>-6.66</v>
      </c>
      <c r="X53">
        <v>-6.93</v>
      </c>
      <c r="Y53">
        <v>548.17999999999995</v>
      </c>
      <c r="Z53">
        <v>1008.9</v>
      </c>
      <c r="AA53" t="str">
        <f t="shared" si="0"/>
        <v>THESIS_REVERSALRETAIL_PROXY</v>
      </c>
    </row>
    <row r="54" spans="1:29" x14ac:dyDescent="0.2">
      <c r="A54" s="1">
        <v>45336</v>
      </c>
      <c r="B54" t="s">
        <v>138</v>
      </c>
      <c r="C54" t="s">
        <v>100</v>
      </c>
      <c r="D54" t="s">
        <v>28</v>
      </c>
      <c r="E54">
        <v>2</v>
      </c>
      <c r="F54">
        <v>7</v>
      </c>
      <c r="G54" t="s">
        <v>142</v>
      </c>
      <c r="H54" t="s">
        <v>158</v>
      </c>
      <c r="I54" t="s">
        <v>159</v>
      </c>
      <c r="J54" t="s">
        <v>155</v>
      </c>
      <c r="L54" t="s">
        <v>43</v>
      </c>
      <c r="M54" t="s">
        <v>35</v>
      </c>
      <c r="N54" t="b">
        <v>0</v>
      </c>
      <c r="O54" t="s">
        <v>43</v>
      </c>
      <c r="P54" t="s">
        <v>43</v>
      </c>
      <c r="Q54" t="s">
        <v>43</v>
      </c>
      <c r="R54" t="s">
        <v>43</v>
      </c>
      <c r="S54">
        <v>7.15</v>
      </c>
      <c r="T54">
        <v>15.05</v>
      </c>
      <c r="U54">
        <v>26.59</v>
      </c>
      <c r="V54">
        <v>103.3</v>
      </c>
      <c r="W54" t="s">
        <v>43</v>
      </c>
      <c r="X54" t="s">
        <v>43</v>
      </c>
      <c r="Y54" t="s">
        <v>43</v>
      </c>
      <c r="Z54" t="s">
        <v>43</v>
      </c>
      <c r="AA54" t="str">
        <f t="shared" si="0"/>
        <v>FIRST_HC_NOT_FIRST_MENTIONNO_BASKET</v>
      </c>
    </row>
    <row r="55" spans="1:29" x14ac:dyDescent="0.2">
      <c r="A55" s="1">
        <v>45336</v>
      </c>
      <c r="B55" t="s">
        <v>138</v>
      </c>
      <c r="C55" t="s">
        <v>36</v>
      </c>
      <c r="D55" t="s">
        <v>28</v>
      </c>
      <c r="E55">
        <v>2</v>
      </c>
      <c r="F55">
        <v>7</v>
      </c>
      <c r="G55" t="s">
        <v>142</v>
      </c>
      <c r="H55" t="s">
        <v>158</v>
      </c>
      <c r="I55" t="s">
        <v>159</v>
      </c>
      <c r="J55" t="s">
        <v>155</v>
      </c>
      <c r="L55" t="s">
        <v>43</v>
      </c>
      <c r="M55" t="s">
        <v>35</v>
      </c>
      <c r="N55" t="b">
        <v>0</v>
      </c>
      <c r="O55" t="s">
        <v>43</v>
      </c>
      <c r="P55" t="s">
        <v>43</v>
      </c>
      <c r="Q55" t="s">
        <v>43</v>
      </c>
      <c r="R55" t="s">
        <v>43</v>
      </c>
      <c r="S55">
        <v>7.15</v>
      </c>
      <c r="T55">
        <v>15.05</v>
      </c>
      <c r="U55">
        <v>26.59</v>
      </c>
      <c r="V55">
        <v>103.3</v>
      </c>
      <c r="W55" t="s">
        <v>43</v>
      </c>
      <c r="X55" t="s">
        <v>43</v>
      </c>
      <c r="Y55" t="s">
        <v>43</v>
      </c>
      <c r="Z55" t="s">
        <v>43</v>
      </c>
      <c r="AA55" t="str">
        <f t="shared" si="0"/>
        <v>FIRST_MENTION_WITH_TICKERSNO_BASKET</v>
      </c>
    </row>
    <row r="56" spans="1:29" x14ac:dyDescent="0.2">
      <c r="A56" s="1">
        <v>45458</v>
      </c>
      <c r="B56" t="s">
        <v>86</v>
      </c>
      <c r="C56" t="s">
        <v>66</v>
      </c>
      <c r="D56" t="s">
        <v>28</v>
      </c>
      <c r="E56">
        <v>4</v>
      </c>
      <c r="F56">
        <v>5</v>
      </c>
      <c r="G56" t="s">
        <v>160</v>
      </c>
      <c r="H56" t="s">
        <v>161</v>
      </c>
      <c r="I56" t="s">
        <v>162</v>
      </c>
      <c r="K56" t="s">
        <v>53</v>
      </c>
      <c r="L56" t="s">
        <v>54</v>
      </c>
      <c r="M56" t="s">
        <v>35</v>
      </c>
      <c r="N56" t="b">
        <v>0</v>
      </c>
      <c r="O56">
        <v>-6.22</v>
      </c>
      <c r="P56">
        <v>-14.22</v>
      </c>
      <c r="Q56">
        <v>-4.0599999999999996</v>
      </c>
      <c r="R56">
        <v>130.02000000000001</v>
      </c>
      <c r="S56">
        <v>-6.22</v>
      </c>
      <c r="T56">
        <v>-14.22</v>
      </c>
      <c r="U56">
        <v>-4.0599999999999996</v>
      </c>
      <c r="V56">
        <v>130.02000000000001</v>
      </c>
      <c r="W56">
        <v>0</v>
      </c>
      <c r="X56">
        <v>0</v>
      </c>
      <c r="Y56">
        <v>0</v>
      </c>
      <c r="Z56">
        <v>0</v>
      </c>
      <c r="AA56" t="str">
        <f t="shared" si="0"/>
        <v>THESIS_REVERSALOBVIOUS_UNIVERSE</v>
      </c>
      <c r="AC56" t="s">
        <v>354</v>
      </c>
    </row>
    <row r="57" spans="1:29" x14ac:dyDescent="0.2">
      <c r="A57" s="1">
        <v>45458</v>
      </c>
      <c r="B57" t="s">
        <v>163</v>
      </c>
      <c r="C57" t="s">
        <v>27</v>
      </c>
      <c r="D57" t="s">
        <v>28</v>
      </c>
      <c r="E57">
        <v>1</v>
      </c>
      <c r="F57">
        <v>2</v>
      </c>
      <c r="G57" t="s">
        <v>160</v>
      </c>
      <c r="H57" t="s">
        <v>164</v>
      </c>
      <c r="I57" t="s">
        <v>165</v>
      </c>
      <c r="J57" t="s">
        <v>166</v>
      </c>
      <c r="K57" t="s">
        <v>166</v>
      </c>
      <c r="L57" t="s">
        <v>49</v>
      </c>
      <c r="M57" t="s">
        <v>35</v>
      </c>
      <c r="N57" t="b">
        <v>0</v>
      </c>
      <c r="O57">
        <v>-2.19</v>
      </c>
      <c r="P57">
        <v>6.14</v>
      </c>
      <c r="Q57">
        <v>1.45</v>
      </c>
      <c r="R57">
        <v>90.78</v>
      </c>
      <c r="S57">
        <v>-6.22</v>
      </c>
      <c r="T57">
        <v>-14.22</v>
      </c>
      <c r="U57">
        <v>-4.0599999999999996</v>
      </c>
      <c r="V57">
        <v>130.02000000000001</v>
      </c>
      <c r="W57">
        <v>4.03</v>
      </c>
      <c r="X57">
        <v>20.36</v>
      </c>
      <c r="Y57">
        <v>5.5</v>
      </c>
      <c r="Z57">
        <v>-39.24</v>
      </c>
      <c r="AA57" t="str">
        <f t="shared" si="0"/>
        <v>FIRST_MENTION_AND_HCBAKER_NAMED</v>
      </c>
    </row>
    <row r="58" spans="1:29" x14ac:dyDescent="0.2">
      <c r="A58" s="1">
        <v>45458</v>
      </c>
      <c r="B58" t="s">
        <v>163</v>
      </c>
      <c r="C58" t="s">
        <v>36</v>
      </c>
      <c r="D58" t="s">
        <v>28</v>
      </c>
      <c r="E58">
        <v>1</v>
      </c>
      <c r="F58">
        <v>2</v>
      </c>
      <c r="G58" t="s">
        <v>160</v>
      </c>
      <c r="H58" t="s">
        <v>164</v>
      </c>
      <c r="I58" t="s">
        <v>165</v>
      </c>
      <c r="J58" t="s">
        <v>166</v>
      </c>
      <c r="K58" t="s">
        <v>166</v>
      </c>
      <c r="L58" t="s">
        <v>49</v>
      </c>
      <c r="M58" t="s">
        <v>35</v>
      </c>
      <c r="N58" t="b">
        <v>0</v>
      </c>
      <c r="O58">
        <v>-2.19</v>
      </c>
      <c r="P58">
        <v>6.14</v>
      </c>
      <c r="Q58">
        <v>1.45</v>
      </c>
      <c r="R58">
        <v>90.78</v>
      </c>
      <c r="S58">
        <v>-6.22</v>
      </c>
      <c r="T58">
        <v>-14.22</v>
      </c>
      <c r="U58">
        <v>-4.0599999999999996</v>
      </c>
      <c r="V58">
        <v>130.02000000000001</v>
      </c>
      <c r="W58">
        <v>4.03</v>
      </c>
      <c r="X58">
        <v>20.36</v>
      </c>
      <c r="Y58">
        <v>5.5</v>
      </c>
      <c r="Z58">
        <v>-39.24</v>
      </c>
      <c r="AA58" t="str">
        <f t="shared" si="0"/>
        <v>FIRST_MENTION_WITH_TICKERSBAKER_NAMED</v>
      </c>
    </row>
    <row r="59" spans="1:29" x14ac:dyDescent="0.2">
      <c r="A59" s="1">
        <v>45458</v>
      </c>
      <c r="B59" t="s">
        <v>124</v>
      </c>
      <c r="C59" t="s">
        <v>36</v>
      </c>
      <c r="D59" t="s">
        <v>28</v>
      </c>
      <c r="E59">
        <v>2</v>
      </c>
      <c r="F59">
        <v>4</v>
      </c>
      <c r="G59" t="s">
        <v>167</v>
      </c>
      <c r="H59" t="s">
        <v>168</v>
      </c>
      <c r="I59" t="s">
        <v>169</v>
      </c>
      <c r="J59" t="s">
        <v>170</v>
      </c>
      <c r="L59" t="s">
        <v>43</v>
      </c>
      <c r="M59" t="s">
        <v>35</v>
      </c>
      <c r="N59" t="b">
        <v>0</v>
      </c>
      <c r="O59" t="s">
        <v>43</v>
      </c>
      <c r="P59" t="s">
        <v>43</v>
      </c>
      <c r="Q59" t="s">
        <v>43</v>
      </c>
      <c r="R59" t="s">
        <v>43</v>
      </c>
      <c r="S59">
        <v>-6.22</v>
      </c>
      <c r="T59">
        <v>-14.22</v>
      </c>
      <c r="U59">
        <v>-4.0599999999999996</v>
      </c>
      <c r="V59">
        <v>130.02000000000001</v>
      </c>
      <c r="W59" t="s">
        <v>43</v>
      </c>
      <c r="X59" t="s">
        <v>43</v>
      </c>
      <c r="Y59" t="s">
        <v>43</v>
      </c>
      <c r="Z59" t="s">
        <v>43</v>
      </c>
      <c r="AA59" t="str">
        <f t="shared" si="0"/>
        <v>FIRST_MENTION_WITH_TICKERSNO_BASKET</v>
      </c>
    </row>
    <row r="60" spans="1:29" x14ac:dyDescent="0.2">
      <c r="A60" s="1">
        <v>45458</v>
      </c>
      <c r="B60" t="s">
        <v>171</v>
      </c>
      <c r="C60" t="s">
        <v>27</v>
      </c>
      <c r="D60" t="s">
        <v>28</v>
      </c>
      <c r="E60">
        <v>1</v>
      </c>
      <c r="F60">
        <v>2</v>
      </c>
      <c r="G60" t="s">
        <v>167</v>
      </c>
      <c r="H60" t="s">
        <v>172</v>
      </c>
      <c r="I60" t="s">
        <v>173</v>
      </c>
      <c r="J60" t="s">
        <v>174</v>
      </c>
      <c r="K60" t="s">
        <v>53</v>
      </c>
      <c r="L60" t="s">
        <v>54</v>
      </c>
      <c r="M60" t="s">
        <v>35</v>
      </c>
      <c r="N60" t="b">
        <v>0</v>
      </c>
      <c r="O60">
        <v>-6.22</v>
      </c>
      <c r="P60">
        <v>-14.22</v>
      </c>
      <c r="Q60">
        <v>-4.0599999999999996</v>
      </c>
      <c r="R60">
        <v>130.02000000000001</v>
      </c>
      <c r="S60">
        <v>-6.22</v>
      </c>
      <c r="T60">
        <v>-14.22</v>
      </c>
      <c r="U60">
        <v>-4.0599999999999996</v>
      </c>
      <c r="V60">
        <v>130.02000000000001</v>
      </c>
      <c r="W60">
        <v>0</v>
      </c>
      <c r="X60">
        <v>0</v>
      </c>
      <c r="Y60">
        <v>0</v>
      </c>
      <c r="Z60">
        <v>0</v>
      </c>
      <c r="AA60" t="str">
        <f t="shared" si="0"/>
        <v>FIRST_MENTION_AND_HCOBVIOUS_UNIVERSE</v>
      </c>
    </row>
    <row r="61" spans="1:29" x14ac:dyDescent="0.2">
      <c r="A61" s="1">
        <v>45458</v>
      </c>
      <c r="B61" t="s">
        <v>171</v>
      </c>
      <c r="C61" t="s">
        <v>36</v>
      </c>
      <c r="D61" t="s">
        <v>28</v>
      </c>
      <c r="E61">
        <v>1</v>
      </c>
      <c r="F61">
        <v>2</v>
      </c>
      <c r="G61" t="s">
        <v>167</v>
      </c>
      <c r="H61" t="s">
        <v>172</v>
      </c>
      <c r="I61" t="s">
        <v>173</v>
      </c>
      <c r="J61" t="s">
        <v>174</v>
      </c>
      <c r="K61" t="s">
        <v>53</v>
      </c>
      <c r="L61" t="s">
        <v>54</v>
      </c>
      <c r="M61" t="s">
        <v>35</v>
      </c>
      <c r="N61" t="b">
        <v>0</v>
      </c>
      <c r="O61">
        <v>-6.22</v>
      </c>
      <c r="P61">
        <v>-14.22</v>
      </c>
      <c r="Q61">
        <v>-4.0599999999999996</v>
      </c>
      <c r="R61">
        <v>130.02000000000001</v>
      </c>
      <c r="S61">
        <v>-6.22</v>
      </c>
      <c r="T61">
        <v>-14.22</v>
      </c>
      <c r="U61">
        <v>-4.0599999999999996</v>
      </c>
      <c r="V61">
        <v>130.02000000000001</v>
      </c>
      <c r="W61">
        <v>0</v>
      </c>
      <c r="X61">
        <v>0</v>
      </c>
      <c r="Y61">
        <v>0</v>
      </c>
      <c r="Z61">
        <v>0</v>
      </c>
      <c r="AA61" t="str">
        <f t="shared" si="0"/>
        <v>FIRST_MENTION_WITH_TICKERSOBVIOUS_UNIVERSE</v>
      </c>
    </row>
    <row r="62" spans="1:29" x14ac:dyDescent="0.2">
      <c r="A62" s="1">
        <v>45458</v>
      </c>
      <c r="B62" t="s">
        <v>175</v>
      </c>
      <c r="C62" t="s">
        <v>38</v>
      </c>
      <c r="D62" t="s">
        <v>39</v>
      </c>
      <c r="E62">
        <v>1</v>
      </c>
      <c r="F62">
        <v>4</v>
      </c>
      <c r="G62" t="s">
        <v>167</v>
      </c>
      <c r="H62" t="s">
        <v>176</v>
      </c>
      <c r="I62" t="s">
        <v>177</v>
      </c>
      <c r="K62" t="s">
        <v>155</v>
      </c>
      <c r="L62" t="s">
        <v>49</v>
      </c>
      <c r="M62" t="s">
        <v>35</v>
      </c>
      <c r="N62" t="b">
        <v>0</v>
      </c>
      <c r="O62">
        <v>0.25</v>
      </c>
      <c r="P62">
        <v>-9.99</v>
      </c>
      <c r="Q62">
        <v>-5.53</v>
      </c>
      <c r="R62">
        <v>96.79</v>
      </c>
      <c r="S62">
        <v>-6.22</v>
      </c>
      <c r="T62">
        <v>-14.22</v>
      </c>
      <c r="U62">
        <v>-4.0599999999999996</v>
      </c>
      <c r="V62">
        <v>130.02000000000001</v>
      </c>
      <c r="W62">
        <v>6.47</v>
      </c>
      <c r="X62">
        <v>4.2300000000000004</v>
      </c>
      <c r="Y62">
        <v>-1.47</v>
      </c>
      <c r="Z62">
        <v>-33.22</v>
      </c>
      <c r="AA62" t="str">
        <f t="shared" si="0"/>
        <v>FIRST_MENTIONBAKER_NAMED</v>
      </c>
      <c r="AB62" t="s">
        <v>346</v>
      </c>
      <c r="AC62" t="s">
        <v>345</v>
      </c>
    </row>
    <row r="63" spans="1:29" x14ac:dyDescent="0.2">
      <c r="A63" s="1">
        <v>45458</v>
      </c>
      <c r="B63" t="s">
        <v>178</v>
      </c>
      <c r="C63" t="s">
        <v>27</v>
      </c>
      <c r="D63" t="s">
        <v>28</v>
      </c>
      <c r="E63">
        <v>1</v>
      </c>
      <c r="F63">
        <v>1</v>
      </c>
      <c r="G63" t="s">
        <v>160</v>
      </c>
      <c r="H63" t="s">
        <v>179</v>
      </c>
      <c r="I63" t="s">
        <v>180</v>
      </c>
      <c r="L63" t="s">
        <v>43</v>
      </c>
      <c r="M63" t="s">
        <v>111</v>
      </c>
      <c r="N63" t="b">
        <v>0</v>
      </c>
      <c r="O63" t="s">
        <v>43</v>
      </c>
      <c r="P63" t="s">
        <v>43</v>
      </c>
      <c r="Q63" t="s">
        <v>43</v>
      </c>
      <c r="R63" t="s">
        <v>43</v>
      </c>
      <c r="S63">
        <v>-6.22</v>
      </c>
      <c r="T63">
        <v>-14.22</v>
      </c>
      <c r="U63">
        <v>-4.0599999999999996</v>
      </c>
      <c r="V63">
        <v>130.02000000000001</v>
      </c>
      <c r="W63" t="s">
        <v>43</v>
      </c>
      <c r="X63" t="s">
        <v>43</v>
      </c>
      <c r="Y63" t="s">
        <v>43</v>
      </c>
      <c r="Z63" t="s">
        <v>43</v>
      </c>
      <c r="AA63" t="str">
        <f t="shared" si="0"/>
        <v>FIRST_MENTION_AND_HCNO_BASKET</v>
      </c>
    </row>
    <row r="64" spans="1:29" x14ac:dyDescent="0.2">
      <c r="A64" s="1">
        <v>45458</v>
      </c>
      <c r="B64" t="s">
        <v>82</v>
      </c>
      <c r="C64" t="s">
        <v>66</v>
      </c>
      <c r="D64" t="s">
        <v>28</v>
      </c>
      <c r="E64">
        <v>4</v>
      </c>
      <c r="F64">
        <v>9</v>
      </c>
      <c r="G64" t="s">
        <v>160</v>
      </c>
      <c r="H64" t="s">
        <v>179</v>
      </c>
      <c r="I64" t="s">
        <v>180</v>
      </c>
      <c r="K64" t="s">
        <v>134</v>
      </c>
      <c r="L64" t="s">
        <v>102</v>
      </c>
      <c r="M64" t="s">
        <v>35</v>
      </c>
      <c r="N64" t="b">
        <v>1</v>
      </c>
      <c r="O64">
        <v>13.54</v>
      </c>
      <c r="P64">
        <v>63.5</v>
      </c>
      <c r="Q64">
        <v>306.04000000000002</v>
      </c>
      <c r="R64">
        <v>794.79</v>
      </c>
      <c r="S64">
        <v>-6.22</v>
      </c>
      <c r="T64">
        <v>-14.22</v>
      </c>
      <c r="U64">
        <v>-4.0599999999999996</v>
      </c>
      <c r="V64">
        <v>130.02000000000001</v>
      </c>
      <c r="W64">
        <v>19.760000000000002</v>
      </c>
      <c r="X64">
        <v>77.72</v>
      </c>
      <c r="Y64">
        <v>310.10000000000002</v>
      </c>
      <c r="Z64">
        <v>664.77</v>
      </c>
      <c r="AA64" t="str">
        <f t="shared" si="0"/>
        <v>THESIS_REVERSALRETAIL_PROXY</v>
      </c>
    </row>
    <row r="65" spans="1:29" x14ac:dyDescent="0.2">
      <c r="A65" s="1">
        <v>45474</v>
      </c>
      <c r="B65" t="s">
        <v>181</v>
      </c>
      <c r="C65" t="s">
        <v>27</v>
      </c>
      <c r="D65" t="s">
        <v>28</v>
      </c>
      <c r="E65">
        <v>1</v>
      </c>
      <c r="F65">
        <v>3</v>
      </c>
      <c r="G65" t="s">
        <v>182</v>
      </c>
      <c r="H65" t="s">
        <v>183</v>
      </c>
      <c r="I65" t="s">
        <v>184</v>
      </c>
      <c r="J65" t="s">
        <v>185</v>
      </c>
      <c r="L65" t="s">
        <v>43</v>
      </c>
      <c r="M65" t="s">
        <v>35</v>
      </c>
      <c r="N65" t="b">
        <v>0</v>
      </c>
      <c r="O65" t="s">
        <v>43</v>
      </c>
      <c r="P65" t="s">
        <v>43</v>
      </c>
      <c r="Q65" t="s">
        <v>43</v>
      </c>
      <c r="R65" t="s">
        <v>186</v>
      </c>
      <c r="S65">
        <v>-5.37</v>
      </c>
      <c r="T65">
        <v>-5.96</v>
      </c>
      <c r="U65">
        <v>9.14</v>
      </c>
      <c r="V65" t="s">
        <v>186</v>
      </c>
      <c r="W65" t="s">
        <v>43</v>
      </c>
      <c r="X65" t="s">
        <v>43</v>
      </c>
      <c r="Y65" t="s">
        <v>43</v>
      </c>
      <c r="Z65" t="s">
        <v>186</v>
      </c>
      <c r="AA65" t="str">
        <f t="shared" si="0"/>
        <v>FIRST_MENTION_AND_HCNO_BASKET</v>
      </c>
    </row>
    <row r="66" spans="1:29" x14ac:dyDescent="0.2">
      <c r="A66" s="1">
        <v>45474</v>
      </c>
      <c r="B66" t="s">
        <v>181</v>
      </c>
      <c r="C66" t="s">
        <v>36</v>
      </c>
      <c r="D66" t="s">
        <v>28</v>
      </c>
      <c r="E66">
        <v>1</v>
      </c>
      <c r="F66">
        <v>3</v>
      </c>
      <c r="G66" t="s">
        <v>182</v>
      </c>
      <c r="H66" t="s">
        <v>183</v>
      </c>
      <c r="I66" t="s">
        <v>184</v>
      </c>
      <c r="J66" t="s">
        <v>185</v>
      </c>
      <c r="L66" t="s">
        <v>43</v>
      </c>
      <c r="M66" t="s">
        <v>35</v>
      </c>
      <c r="N66" t="b">
        <v>0</v>
      </c>
      <c r="O66" t="s">
        <v>43</v>
      </c>
      <c r="P66" t="s">
        <v>43</v>
      </c>
      <c r="Q66" t="s">
        <v>43</v>
      </c>
      <c r="R66" t="s">
        <v>186</v>
      </c>
      <c r="S66">
        <v>-5.37</v>
      </c>
      <c r="T66">
        <v>-5.96</v>
      </c>
      <c r="U66">
        <v>9.14</v>
      </c>
      <c r="V66" t="s">
        <v>186</v>
      </c>
      <c r="W66" t="s">
        <v>43</v>
      </c>
      <c r="X66" t="s">
        <v>43</v>
      </c>
      <c r="Y66" t="s">
        <v>43</v>
      </c>
      <c r="Z66" t="s">
        <v>186</v>
      </c>
      <c r="AA66" t="str">
        <f t="shared" si="0"/>
        <v>FIRST_MENTION_WITH_TICKERSNO_BASKET</v>
      </c>
    </row>
    <row r="67" spans="1:29" x14ac:dyDescent="0.2">
      <c r="A67" s="1">
        <v>45474</v>
      </c>
      <c r="B67" t="s">
        <v>127</v>
      </c>
      <c r="C67" t="s">
        <v>187</v>
      </c>
      <c r="D67" t="s">
        <v>39</v>
      </c>
      <c r="E67">
        <v>3</v>
      </c>
      <c r="F67">
        <v>4</v>
      </c>
      <c r="G67" t="s">
        <v>182</v>
      </c>
      <c r="H67" t="s">
        <v>188</v>
      </c>
      <c r="I67" t="s">
        <v>189</v>
      </c>
      <c r="J67" t="s">
        <v>106</v>
      </c>
      <c r="K67" t="s">
        <v>106</v>
      </c>
      <c r="L67" t="s">
        <v>49</v>
      </c>
      <c r="M67" t="s">
        <v>35</v>
      </c>
      <c r="N67" t="b">
        <v>0</v>
      </c>
      <c r="O67">
        <v>10.58</v>
      </c>
      <c r="P67">
        <v>24.67</v>
      </c>
      <c r="Q67">
        <v>50.27</v>
      </c>
      <c r="R67" t="s">
        <v>186</v>
      </c>
      <c r="S67">
        <v>-5.37</v>
      </c>
      <c r="T67">
        <v>-5.96</v>
      </c>
      <c r="U67">
        <v>9.14</v>
      </c>
      <c r="V67" t="s">
        <v>186</v>
      </c>
      <c r="W67">
        <v>15.95</v>
      </c>
      <c r="X67">
        <v>30.63</v>
      </c>
      <c r="Y67">
        <v>41.12</v>
      </c>
      <c r="Z67" t="s">
        <v>186</v>
      </c>
      <c r="AA67" t="str">
        <f t="shared" ref="AA67:AA126" si="1">C67&amp;L67</f>
        <v>THIRD_MENTION_WITHIN_1YRBAKER_NAMED</v>
      </c>
    </row>
    <row r="68" spans="1:29" x14ac:dyDescent="0.2">
      <c r="A68" s="1">
        <v>45474</v>
      </c>
      <c r="B68" t="s">
        <v>37</v>
      </c>
      <c r="C68" t="s">
        <v>100</v>
      </c>
      <c r="D68" t="s">
        <v>28</v>
      </c>
      <c r="E68">
        <v>2</v>
      </c>
      <c r="F68">
        <v>6</v>
      </c>
      <c r="G68" t="s">
        <v>182</v>
      </c>
      <c r="H68" t="s">
        <v>190</v>
      </c>
      <c r="I68" t="s">
        <v>191</v>
      </c>
      <c r="J68" t="s">
        <v>192</v>
      </c>
      <c r="K68" t="s">
        <v>193</v>
      </c>
      <c r="L68" t="s">
        <v>49</v>
      </c>
      <c r="M68" t="s">
        <v>35</v>
      </c>
      <c r="N68" t="b">
        <v>0</v>
      </c>
      <c r="O68">
        <v>-8.3699999999999992</v>
      </c>
      <c r="P68">
        <v>31.54</v>
      </c>
      <c r="Q68">
        <v>87.36</v>
      </c>
      <c r="R68" t="s">
        <v>186</v>
      </c>
      <c r="S68">
        <v>-5.37</v>
      </c>
      <c r="T68">
        <v>-5.96</v>
      </c>
      <c r="U68">
        <v>9.14</v>
      </c>
      <c r="V68" t="s">
        <v>186</v>
      </c>
      <c r="W68">
        <v>-3</v>
      </c>
      <c r="X68">
        <v>37.51</v>
      </c>
      <c r="Y68">
        <v>78.22</v>
      </c>
      <c r="Z68" t="s">
        <v>186</v>
      </c>
      <c r="AA68" t="str">
        <f t="shared" si="1"/>
        <v>FIRST_HC_NOT_FIRST_MENTIONBAKER_NAMED</v>
      </c>
    </row>
    <row r="69" spans="1:29" x14ac:dyDescent="0.2">
      <c r="A69" s="1">
        <v>45474</v>
      </c>
      <c r="B69" t="s">
        <v>97</v>
      </c>
      <c r="C69" t="s">
        <v>36</v>
      </c>
      <c r="D69" t="s">
        <v>28</v>
      </c>
      <c r="E69">
        <v>2</v>
      </c>
      <c r="F69">
        <v>5</v>
      </c>
      <c r="G69" t="s">
        <v>182</v>
      </c>
      <c r="H69" t="s">
        <v>194</v>
      </c>
      <c r="I69" t="s">
        <v>195</v>
      </c>
      <c r="J69" t="s">
        <v>196</v>
      </c>
      <c r="K69" t="s">
        <v>53</v>
      </c>
      <c r="L69" t="s">
        <v>54</v>
      </c>
      <c r="M69" t="s">
        <v>35</v>
      </c>
      <c r="N69" t="b">
        <v>0</v>
      </c>
      <c r="O69">
        <v>-5.37</v>
      </c>
      <c r="P69">
        <v>-5.96</v>
      </c>
      <c r="Q69">
        <v>9.14</v>
      </c>
      <c r="R69" t="s">
        <v>186</v>
      </c>
      <c r="S69">
        <v>-5.37</v>
      </c>
      <c r="T69">
        <v>-5.96</v>
      </c>
      <c r="U69">
        <v>9.14</v>
      </c>
      <c r="V69" t="s">
        <v>186</v>
      </c>
      <c r="W69">
        <v>0</v>
      </c>
      <c r="X69">
        <v>0</v>
      </c>
      <c r="Y69">
        <v>0</v>
      </c>
      <c r="Z69" t="s">
        <v>186</v>
      </c>
      <c r="AA69" t="str">
        <f t="shared" si="1"/>
        <v>FIRST_MENTION_WITH_TICKERSOBVIOUS_UNIVERSE</v>
      </c>
      <c r="AC69" t="s">
        <v>355</v>
      </c>
    </row>
    <row r="70" spans="1:29" x14ac:dyDescent="0.2">
      <c r="A70" s="1">
        <v>45474</v>
      </c>
      <c r="B70" t="s">
        <v>138</v>
      </c>
      <c r="C70" t="s">
        <v>187</v>
      </c>
      <c r="D70" t="s">
        <v>39</v>
      </c>
      <c r="E70">
        <v>3</v>
      </c>
      <c r="F70">
        <v>7</v>
      </c>
      <c r="G70" t="s">
        <v>182</v>
      </c>
      <c r="H70" t="s">
        <v>197</v>
      </c>
      <c r="I70" t="s">
        <v>198</v>
      </c>
      <c r="J70" t="s">
        <v>199</v>
      </c>
      <c r="L70" t="s">
        <v>43</v>
      </c>
      <c r="M70" t="s">
        <v>35</v>
      </c>
      <c r="N70" t="b">
        <v>0</v>
      </c>
      <c r="O70" t="s">
        <v>43</v>
      </c>
      <c r="P70" t="s">
        <v>43</v>
      </c>
      <c r="Q70" t="s">
        <v>43</v>
      </c>
      <c r="R70" t="s">
        <v>186</v>
      </c>
      <c r="S70">
        <v>-5.37</v>
      </c>
      <c r="T70">
        <v>-5.96</v>
      </c>
      <c r="U70">
        <v>9.14</v>
      </c>
      <c r="V70" t="s">
        <v>186</v>
      </c>
      <c r="W70" t="s">
        <v>43</v>
      </c>
      <c r="X70" t="s">
        <v>43</v>
      </c>
      <c r="Y70" t="s">
        <v>43</v>
      </c>
      <c r="Z70" t="s">
        <v>186</v>
      </c>
      <c r="AA70" t="str">
        <f t="shared" si="1"/>
        <v>THIRD_MENTION_WITHIN_1YRNO_BASKET</v>
      </c>
    </row>
    <row r="71" spans="1:29" x14ac:dyDescent="0.2">
      <c r="A71" s="1">
        <v>45633</v>
      </c>
      <c r="B71" t="s">
        <v>200</v>
      </c>
      <c r="C71" t="s">
        <v>27</v>
      </c>
      <c r="D71" t="s">
        <v>28</v>
      </c>
      <c r="E71">
        <v>1</v>
      </c>
      <c r="F71">
        <v>4</v>
      </c>
      <c r="G71" t="s">
        <v>201</v>
      </c>
      <c r="H71" t="s">
        <v>202</v>
      </c>
      <c r="I71" t="s">
        <v>203</v>
      </c>
      <c r="J71" t="s">
        <v>204</v>
      </c>
      <c r="K71" t="s">
        <v>205</v>
      </c>
      <c r="L71" t="s">
        <v>54</v>
      </c>
      <c r="M71" t="s">
        <v>35</v>
      </c>
      <c r="N71" t="b">
        <v>0</v>
      </c>
      <c r="O71">
        <v>0.18</v>
      </c>
      <c r="P71">
        <v>-9.9700000000000006</v>
      </c>
      <c r="Q71">
        <v>24.15</v>
      </c>
      <c r="R71" t="s">
        <v>186</v>
      </c>
      <c r="S71">
        <v>0.9</v>
      </c>
      <c r="T71">
        <v>-10.38</v>
      </c>
      <c r="U71">
        <v>51.39</v>
      </c>
      <c r="V71" t="s">
        <v>186</v>
      </c>
      <c r="W71">
        <v>-0.71</v>
      </c>
      <c r="X71">
        <v>0.41</v>
      </c>
      <c r="Y71">
        <v>-27.24</v>
      </c>
      <c r="Z71" t="s">
        <v>186</v>
      </c>
      <c r="AA71" t="str">
        <f t="shared" si="1"/>
        <v>FIRST_MENTION_AND_HCOBVIOUS_UNIVERSE</v>
      </c>
      <c r="AC71" t="s">
        <v>53</v>
      </c>
    </row>
    <row r="72" spans="1:29" x14ac:dyDescent="0.2">
      <c r="A72" s="1">
        <v>45633</v>
      </c>
      <c r="B72" t="s">
        <v>200</v>
      </c>
      <c r="C72" t="s">
        <v>36</v>
      </c>
      <c r="D72" t="s">
        <v>28</v>
      </c>
      <c r="E72">
        <v>1</v>
      </c>
      <c r="F72">
        <v>4</v>
      </c>
      <c r="G72" t="s">
        <v>201</v>
      </c>
      <c r="H72" t="s">
        <v>202</v>
      </c>
      <c r="I72" t="s">
        <v>203</v>
      </c>
      <c r="J72" t="s">
        <v>204</v>
      </c>
      <c r="K72" t="s">
        <v>205</v>
      </c>
      <c r="L72" t="s">
        <v>54</v>
      </c>
      <c r="M72" t="s">
        <v>35</v>
      </c>
      <c r="N72" t="b">
        <v>0</v>
      </c>
      <c r="O72">
        <v>0.18</v>
      </c>
      <c r="P72">
        <v>-9.9700000000000006</v>
      </c>
      <c r="Q72">
        <v>24.15</v>
      </c>
      <c r="R72" t="s">
        <v>186</v>
      </c>
      <c r="S72">
        <v>0.9</v>
      </c>
      <c r="T72">
        <v>-10.38</v>
      </c>
      <c r="U72">
        <v>51.39</v>
      </c>
      <c r="V72" t="s">
        <v>186</v>
      </c>
      <c r="W72">
        <v>-0.71</v>
      </c>
      <c r="X72">
        <v>0.41</v>
      </c>
      <c r="Y72">
        <v>-27.24</v>
      </c>
      <c r="Z72" t="s">
        <v>186</v>
      </c>
      <c r="AA72" t="str">
        <f t="shared" si="1"/>
        <v>FIRST_MENTION_WITH_TICKERSOBVIOUS_UNIVERSE</v>
      </c>
      <c r="AC72" t="s">
        <v>53</v>
      </c>
    </row>
    <row r="73" spans="1:29" x14ac:dyDescent="0.2">
      <c r="A73" s="1">
        <v>45633</v>
      </c>
      <c r="B73" t="s">
        <v>141</v>
      </c>
      <c r="C73" t="s">
        <v>187</v>
      </c>
      <c r="D73" t="s">
        <v>39</v>
      </c>
      <c r="E73">
        <v>3</v>
      </c>
      <c r="F73">
        <v>6</v>
      </c>
      <c r="G73" t="s">
        <v>201</v>
      </c>
      <c r="H73" t="s">
        <v>206</v>
      </c>
      <c r="I73" t="s">
        <v>207</v>
      </c>
      <c r="J73" t="s">
        <v>208</v>
      </c>
      <c r="K73" t="s">
        <v>146</v>
      </c>
      <c r="L73" t="s">
        <v>54</v>
      </c>
      <c r="M73" t="s">
        <v>35</v>
      </c>
      <c r="N73" t="b">
        <v>0</v>
      </c>
      <c r="O73">
        <v>1.47</v>
      </c>
      <c r="P73">
        <v>-2.89</v>
      </c>
      <c r="Q73">
        <v>83.09</v>
      </c>
      <c r="R73" t="s">
        <v>186</v>
      </c>
      <c r="S73">
        <v>0.9</v>
      </c>
      <c r="T73">
        <v>-10.38</v>
      </c>
      <c r="U73">
        <v>51.39</v>
      </c>
      <c r="V73" t="s">
        <v>186</v>
      </c>
      <c r="W73">
        <v>0.56999999999999995</v>
      </c>
      <c r="X73">
        <v>7.49</v>
      </c>
      <c r="Y73">
        <v>31.69</v>
      </c>
      <c r="Z73" t="s">
        <v>186</v>
      </c>
      <c r="AA73" t="str">
        <f t="shared" si="1"/>
        <v>THIRD_MENTION_WITHIN_1YROBVIOUS_UNIVERSE</v>
      </c>
    </row>
    <row r="74" spans="1:29" x14ac:dyDescent="0.2">
      <c r="A74" s="1">
        <v>45633</v>
      </c>
      <c r="B74" t="s">
        <v>209</v>
      </c>
      <c r="C74" t="s">
        <v>27</v>
      </c>
      <c r="D74" t="s">
        <v>28</v>
      </c>
      <c r="E74">
        <v>1</v>
      </c>
      <c r="F74">
        <v>3</v>
      </c>
      <c r="G74" t="s">
        <v>201</v>
      </c>
      <c r="H74" t="s">
        <v>210</v>
      </c>
      <c r="I74" t="s">
        <v>211</v>
      </c>
      <c r="L74" t="s">
        <v>43</v>
      </c>
      <c r="M74" t="s">
        <v>35</v>
      </c>
      <c r="N74" t="b">
        <v>0</v>
      </c>
      <c r="O74" t="s">
        <v>43</v>
      </c>
      <c r="P74" t="s">
        <v>43</v>
      </c>
      <c r="Q74" t="s">
        <v>43</v>
      </c>
      <c r="R74" t="s">
        <v>186</v>
      </c>
      <c r="S74">
        <v>0.9</v>
      </c>
      <c r="T74">
        <v>-10.38</v>
      </c>
      <c r="U74">
        <v>51.39</v>
      </c>
      <c r="V74" t="s">
        <v>186</v>
      </c>
      <c r="W74" t="s">
        <v>43</v>
      </c>
      <c r="X74" t="s">
        <v>43</v>
      </c>
      <c r="Y74" t="s">
        <v>43</v>
      </c>
      <c r="Z74" t="s">
        <v>186</v>
      </c>
      <c r="AA74" t="str">
        <f t="shared" si="1"/>
        <v>FIRST_MENTION_AND_HCNO_BASKET</v>
      </c>
    </row>
    <row r="75" spans="1:29" x14ac:dyDescent="0.2">
      <c r="A75" s="1">
        <v>45633</v>
      </c>
      <c r="B75" t="s">
        <v>212</v>
      </c>
      <c r="C75" t="s">
        <v>38</v>
      </c>
      <c r="D75" t="s">
        <v>39</v>
      </c>
      <c r="E75">
        <v>1</v>
      </c>
      <c r="F75">
        <v>1</v>
      </c>
      <c r="G75" t="s">
        <v>201</v>
      </c>
      <c r="H75" t="s">
        <v>213</v>
      </c>
      <c r="I75" t="s">
        <v>214</v>
      </c>
      <c r="L75" t="s">
        <v>43</v>
      </c>
      <c r="M75" t="s">
        <v>35</v>
      </c>
      <c r="N75" t="b">
        <v>0</v>
      </c>
      <c r="O75" t="s">
        <v>43</v>
      </c>
      <c r="P75" t="s">
        <v>43</v>
      </c>
      <c r="Q75" t="s">
        <v>43</v>
      </c>
      <c r="R75" t="s">
        <v>186</v>
      </c>
      <c r="S75">
        <v>0.9</v>
      </c>
      <c r="T75">
        <v>-10.38</v>
      </c>
      <c r="U75">
        <v>51.39</v>
      </c>
      <c r="V75" t="s">
        <v>186</v>
      </c>
      <c r="W75" t="s">
        <v>43</v>
      </c>
      <c r="X75" t="s">
        <v>43</v>
      </c>
      <c r="Y75" t="s">
        <v>43</v>
      </c>
      <c r="Z75" t="s">
        <v>186</v>
      </c>
      <c r="AA75" t="str">
        <f t="shared" si="1"/>
        <v>FIRST_MENTIONNO_BASKET</v>
      </c>
    </row>
    <row r="76" spans="1:29" x14ac:dyDescent="0.2">
      <c r="A76" s="1">
        <v>45633</v>
      </c>
      <c r="B76" t="s">
        <v>215</v>
      </c>
      <c r="C76" t="s">
        <v>27</v>
      </c>
      <c r="D76" t="s">
        <v>28</v>
      </c>
      <c r="E76">
        <v>1</v>
      </c>
      <c r="F76">
        <v>1</v>
      </c>
      <c r="G76" t="s">
        <v>201</v>
      </c>
      <c r="H76" t="s">
        <v>216</v>
      </c>
      <c r="I76" t="s">
        <v>217</v>
      </c>
      <c r="J76" t="s">
        <v>218</v>
      </c>
      <c r="K76" t="s">
        <v>218</v>
      </c>
      <c r="L76" t="s">
        <v>49</v>
      </c>
      <c r="M76" t="s">
        <v>65</v>
      </c>
      <c r="N76" t="b">
        <v>0</v>
      </c>
      <c r="O76">
        <v>10.25</v>
      </c>
      <c r="P76">
        <v>27.94</v>
      </c>
      <c r="Q76">
        <v>49.83</v>
      </c>
      <c r="R76" t="s">
        <v>186</v>
      </c>
      <c r="S76">
        <v>0.9</v>
      </c>
      <c r="T76">
        <v>-10.38</v>
      </c>
      <c r="U76">
        <v>51.39</v>
      </c>
      <c r="V76" t="s">
        <v>186</v>
      </c>
      <c r="W76">
        <v>9.35</v>
      </c>
      <c r="X76">
        <v>38.32</v>
      </c>
      <c r="Y76">
        <v>-1.57</v>
      </c>
      <c r="Z76" t="s">
        <v>186</v>
      </c>
      <c r="AA76" t="str">
        <f t="shared" si="1"/>
        <v>FIRST_MENTION_AND_HCBAKER_NAMED</v>
      </c>
    </row>
    <row r="77" spans="1:29" x14ac:dyDescent="0.2">
      <c r="A77" s="1">
        <v>45633</v>
      </c>
      <c r="B77" t="s">
        <v>215</v>
      </c>
      <c r="C77" t="s">
        <v>36</v>
      </c>
      <c r="D77" t="s">
        <v>28</v>
      </c>
      <c r="E77">
        <v>1</v>
      </c>
      <c r="F77">
        <v>1</v>
      </c>
      <c r="G77" t="s">
        <v>201</v>
      </c>
      <c r="H77" t="s">
        <v>216</v>
      </c>
      <c r="I77" t="s">
        <v>217</v>
      </c>
      <c r="J77" t="s">
        <v>218</v>
      </c>
      <c r="K77" t="s">
        <v>218</v>
      </c>
      <c r="L77" t="s">
        <v>49</v>
      </c>
      <c r="M77" t="s">
        <v>65</v>
      </c>
      <c r="N77" t="b">
        <v>0</v>
      </c>
      <c r="O77">
        <v>10.25</v>
      </c>
      <c r="P77">
        <v>27.94</v>
      </c>
      <c r="Q77">
        <v>49.83</v>
      </c>
      <c r="R77" t="s">
        <v>186</v>
      </c>
      <c r="S77">
        <v>0.9</v>
      </c>
      <c r="T77">
        <v>-10.38</v>
      </c>
      <c r="U77">
        <v>51.39</v>
      </c>
      <c r="V77" t="s">
        <v>186</v>
      </c>
      <c r="W77">
        <v>9.35</v>
      </c>
      <c r="X77">
        <v>38.32</v>
      </c>
      <c r="Y77">
        <v>-1.57</v>
      </c>
      <c r="Z77" t="s">
        <v>186</v>
      </c>
      <c r="AA77" t="str">
        <f t="shared" si="1"/>
        <v>FIRST_MENTION_WITH_TICKERSBAKER_NAMED</v>
      </c>
    </row>
    <row r="78" spans="1:29" x14ac:dyDescent="0.2">
      <c r="A78" s="1">
        <v>45633</v>
      </c>
      <c r="B78" t="s">
        <v>219</v>
      </c>
      <c r="C78" t="s">
        <v>38</v>
      </c>
      <c r="D78" t="s">
        <v>39</v>
      </c>
      <c r="E78">
        <v>1</v>
      </c>
      <c r="F78">
        <v>2</v>
      </c>
      <c r="G78" t="s">
        <v>201</v>
      </c>
      <c r="H78" t="s">
        <v>220</v>
      </c>
      <c r="I78" t="s">
        <v>221</v>
      </c>
      <c r="K78" t="s">
        <v>222</v>
      </c>
      <c r="L78" t="s">
        <v>49</v>
      </c>
      <c r="M78" t="s">
        <v>65</v>
      </c>
      <c r="N78" t="b">
        <v>0</v>
      </c>
      <c r="O78">
        <v>6.07</v>
      </c>
      <c r="P78">
        <v>14.91</v>
      </c>
      <c r="Q78">
        <v>-9.1999999999999993</v>
      </c>
      <c r="R78" t="s">
        <v>186</v>
      </c>
      <c r="S78">
        <v>0.9</v>
      </c>
      <c r="T78">
        <v>-10.38</v>
      </c>
      <c r="U78">
        <v>51.39</v>
      </c>
      <c r="V78" t="s">
        <v>186</v>
      </c>
      <c r="W78">
        <v>5.17</v>
      </c>
      <c r="X78">
        <v>25.29</v>
      </c>
      <c r="Y78">
        <v>-60.59</v>
      </c>
      <c r="Z78" t="s">
        <v>186</v>
      </c>
      <c r="AA78" t="str">
        <f t="shared" si="1"/>
        <v>FIRST_MENTIONBAKER_NAMED</v>
      </c>
      <c r="AB78" t="s">
        <v>347</v>
      </c>
      <c r="AC78" t="s">
        <v>348</v>
      </c>
    </row>
    <row r="79" spans="1:29" x14ac:dyDescent="0.2">
      <c r="A79" s="1">
        <v>45633</v>
      </c>
      <c r="B79" t="s">
        <v>223</v>
      </c>
      <c r="C79" t="s">
        <v>27</v>
      </c>
      <c r="D79" t="s">
        <v>28</v>
      </c>
      <c r="E79">
        <v>1</v>
      </c>
      <c r="F79">
        <v>1</v>
      </c>
      <c r="G79" t="s">
        <v>201</v>
      </c>
      <c r="H79" t="s">
        <v>224</v>
      </c>
      <c r="I79" t="s">
        <v>225</v>
      </c>
      <c r="K79" t="s">
        <v>226</v>
      </c>
      <c r="L79" t="s">
        <v>34</v>
      </c>
      <c r="M79" t="s">
        <v>35</v>
      </c>
      <c r="N79" t="b">
        <v>0</v>
      </c>
      <c r="O79">
        <v>8.48</v>
      </c>
      <c r="P79">
        <v>-19.989999999999998</v>
      </c>
      <c r="Q79">
        <v>47.97</v>
      </c>
      <c r="R79" t="s">
        <v>186</v>
      </c>
      <c r="S79">
        <v>0.9</v>
      </c>
      <c r="T79">
        <v>-10.38</v>
      </c>
      <c r="U79">
        <v>51.39</v>
      </c>
      <c r="V79" t="s">
        <v>186</v>
      </c>
      <c r="W79">
        <v>7.59</v>
      </c>
      <c r="X79">
        <v>-9.6</v>
      </c>
      <c r="Y79">
        <v>-3.43</v>
      </c>
      <c r="Z79" t="s">
        <v>186</v>
      </c>
      <c r="AA79" t="str">
        <f t="shared" si="1"/>
        <v>FIRST_MENTION_AND_HCCONSTRUCTED</v>
      </c>
    </row>
    <row r="80" spans="1:29" x14ac:dyDescent="0.2">
      <c r="A80" s="1">
        <v>45633</v>
      </c>
      <c r="B80" t="s">
        <v>138</v>
      </c>
      <c r="C80" t="s">
        <v>66</v>
      </c>
      <c r="D80" t="s">
        <v>39</v>
      </c>
      <c r="E80">
        <v>4</v>
      </c>
      <c r="F80">
        <v>7</v>
      </c>
      <c r="G80" t="s">
        <v>201</v>
      </c>
      <c r="H80" t="s">
        <v>220</v>
      </c>
      <c r="I80" t="s">
        <v>221</v>
      </c>
      <c r="L80" t="s">
        <v>43</v>
      </c>
      <c r="M80" t="s">
        <v>35</v>
      </c>
      <c r="N80" t="b">
        <v>0</v>
      </c>
      <c r="O80" t="s">
        <v>43</v>
      </c>
      <c r="P80" t="s">
        <v>43</v>
      </c>
      <c r="Q80" t="s">
        <v>43</v>
      </c>
      <c r="R80" t="s">
        <v>186</v>
      </c>
      <c r="S80">
        <v>0.9</v>
      </c>
      <c r="T80">
        <v>-10.38</v>
      </c>
      <c r="U80">
        <v>51.39</v>
      </c>
      <c r="V80" t="s">
        <v>186</v>
      </c>
      <c r="W80" t="s">
        <v>43</v>
      </c>
      <c r="X80" t="s">
        <v>43</v>
      </c>
      <c r="Y80" t="s">
        <v>43</v>
      </c>
      <c r="Z80" t="s">
        <v>186</v>
      </c>
      <c r="AA80" t="str">
        <f t="shared" si="1"/>
        <v>THESIS_REVERSALNO_BASKET</v>
      </c>
    </row>
    <row r="81" spans="1:29" x14ac:dyDescent="0.2">
      <c r="A81" s="1">
        <v>45661</v>
      </c>
      <c r="B81" t="s">
        <v>151</v>
      </c>
      <c r="C81" t="s">
        <v>187</v>
      </c>
      <c r="D81" t="s">
        <v>28</v>
      </c>
      <c r="E81">
        <v>3</v>
      </c>
      <c r="F81">
        <v>5</v>
      </c>
      <c r="G81" t="s">
        <v>227</v>
      </c>
      <c r="H81" t="s">
        <v>228</v>
      </c>
      <c r="I81" t="s">
        <v>229</v>
      </c>
      <c r="J81" t="s">
        <v>230</v>
      </c>
      <c r="K81" t="s">
        <v>231</v>
      </c>
      <c r="L81" t="s">
        <v>54</v>
      </c>
      <c r="M81" t="s">
        <v>35</v>
      </c>
      <c r="N81" t="b">
        <v>0</v>
      </c>
      <c r="O81">
        <v>-14.43</v>
      </c>
      <c r="P81">
        <v>-37.590000000000003</v>
      </c>
      <c r="Q81">
        <v>40.93</v>
      </c>
      <c r="R81" t="s">
        <v>186</v>
      </c>
      <c r="S81">
        <v>-4.57</v>
      </c>
      <c r="T81">
        <v>-30.85</v>
      </c>
      <c r="U81">
        <v>46.09</v>
      </c>
      <c r="V81" t="s">
        <v>186</v>
      </c>
      <c r="W81">
        <v>-9.86</v>
      </c>
      <c r="X81">
        <v>-6.74</v>
      </c>
      <c r="Y81">
        <v>-5.16</v>
      </c>
      <c r="Z81" t="s">
        <v>186</v>
      </c>
      <c r="AA81" t="str">
        <f t="shared" si="1"/>
        <v>THIRD_MENTION_WITHIN_1YROBVIOUS_UNIVERSE</v>
      </c>
    </row>
    <row r="82" spans="1:29" x14ac:dyDescent="0.2">
      <c r="A82" s="1">
        <v>45805</v>
      </c>
      <c r="B82" t="s">
        <v>58</v>
      </c>
      <c r="C82" t="s">
        <v>76</v>
      </c>
      <c r="D82" t="s">
        <v>28</v>
      </c>
      <c r="E82">
        <v>7</v>
      </c>
      <c r="F82">
        <v>11</v>
      </c>
      <c r="G82" t="s">
        <v>232</v>
      </c>
      <c r="H82" t="s">
        <v>233</v>
      </c>
      <c r="I82" t="s">
        <v>234</v>
      </c>
      <c r="J82" t="s">
        <v>235</v>
      </c>
      <c r="K82" t="s">
        <v>59</v>
      </c>
      <c r="L82" t="s">
        <v>54</v>
      </c>
      <c r="M82" t="s">
        <v>35</v>
      </c>
      <c r="N82" t="b">
        <v>0</v>
      </c>
      <c r="O82">
        <v>29.72</v>
      </c>
      <c r="P82">
        <v>22.54</v>
      </c>
      <c r="Q82">
        <v>911.98</v>
      </c>
      <c r="R82" t="s">
        <v>186</v>
      </c>
      <c r="S82">
        <v>14.88</v>
      </c>
      <c r="T82">
        <v>22.82</v>
      </c>
      <c r="U82">
        <v>147.88999999999999</v>
      </c>
      <c r="V82" t="s">
        <v>186</v>
      </c>
      <c r="W82">
        <v>14.84</v>
      </c>
      <c r="X82">
        <v>-0.28000000000000003</v>
      </c>
      <c r="Y82">
        <v>764.09</v>
      </c>
      <c r="Z82" t="s">
        <v>186</v>
      </c>
      <c r="AA82" t="str">
        <f t="shared" si="1"/>
        <v>HC_HIGH_PROFILE_VENUEOBVIOUS_UNIVERSE</v>
      </c>
      <c r="AC82" t="s">
        <v>356</v>
      </c>
    </row>
    <row r="83" spans="1:29" x14ac:dyDescent="0.2">
      <c r="A83" s="1">
        <v>45805</v>
      </c>
      <c r="B83" t="s">
        <v>151</v>
      </c>
      <c r="C83" t="s">
        <v>76</v>
      </c>
      <c r="D83" t="s">
        <v>28</v>
      </c>
      <c r="E83">
        <v>4</v>
      </c>
      <c r="F83">
        <v>5</v>
      </c>
      <c r="G83" t="s">
        <v>232</v>
      </c>
      <c r="H83" t="s">
        <v>236</v>
      </c>
      <c r="I83" t="s">
        <v>237</v>
      </c>
      <c r="J83" t="s">
        <v>235</v>
      </c>
      <c r="K83" t="s">
        <v>59</v>
      </c>
      <c r="L83" t="s">
        <v>54</v>
      </c>
      <c r="M83" t="s">
        <v>35</v>
      </c>
      <c r="N83" t="b">
        <v>0</v>
      </c>
      <c r="O83">
        <v>29.72</v>
      </c>
      <c r="P83">
        <v>22.54</v>
      </c>
      <c r="Q83">
        <v>911.98</v>
      </c>
      <c r="R83" t="s">
        <v>186</v>
      </c>
      <c r="S83">
        <v>14.88</v>
      </c>
      <c r="T83">
        <v>22.82</v>
      </c>
      <c r="U83">
        <v>147.88999999999999</v>
      </c>
      <c r="V83" t="s">
        <v>186</v>
      </c>
      <c r="W83">
        <v>14.84</v>
      </c>
      <c r="X83">
        <v>-0.28000000000000003</v>
      </c>
      <c r="Y83">
        <v>764.09</v>
      </c>
      <c r="Z83" t="s">
        <v>186</v>
      </c>
      <c r="AA83" t="str">
        <f t="shared" si="1"/>
        <v>HC_HIGH_PROFILE_VENUEOBVIOUS_UNIVERSE</v>
      </c>
      <c r="AC83" t="s">
        <v>356</v>
      </c>
    </row>
    <row r="84" spans="1:29" x14ac:dyDescent="0.2">
      <c r="A84" s="1">
        <v>45960</v>
      </c>
      <c r="B84" t="s">
        <v>238</v>
      </c>
      <c r="C84" t="s">
        <v>27</v>
      </c>
      <c r="D84" t="s">
        <v>28</v>
      </c>
      <c r="E84">
        <v>1</v>
      </c>
      <c r="F84">
        <v>2</v>
      </c>
      <c r="G84" t="s">
        <v>239</v>
      </c>
      <c r="H84" t="s">
        <v>240</v>
      </c>
      <c r="I84" t="s">
        <v>241</v>
      </c>
      <c r="J84" t="s">
        <v>242</v>
      </c>
      <c r="K84" t="s">
        <v>243</v>
      </c>
      <c r="L84" t="s">
        <v>49</v>
      </c>
      <c r="M84" t="s">
        <v>35</v>
      </c>
      <c r="N84" t="b">
        <v>0</v>
      </c>
      <c r="O84">
        <v>8.41</v>
      </c>
      <c r="P84">
        <v>15.6</v>
      </c>
      <c r="Q84" t="s">
        <v>186</v>
      </c>
      <c r="R84" t="s">
        <v>186</v>
      </c>
      <c r="S84">
        <v>-2.96</v>
      </c>
      <c r="T84">
        <v>12.51</v>
      </c>
      <c r="U84" t="s">
        <v>186</v>
      </c>
      <c r="V84" t="s">
        <v>186</v>
      </c>
      <c r="W84">
        <v>11.37</v>
      </c>
      <c r="X84">
        <v>3.09</v>
      </c>
      <c r="Y84" t="s">
        <v>186</v>
      </c>
      <c r="Z84" t="s">
        <v>186</v>
      </c>
      <c r="AA84" t="str">
        <f t="shared" si="1"/>
        <v>FIRST_MENTION_AND_HCBAKER_NAMED</v>
      </c>
      <c r="AB84" t="s">
        <v>349</v>
      </c>
      <c r="AC84" t="s">
        <v>348</v>
      </c>
    </row>
    <row r="85" spans="1:29" x14ac:dyDescent="0.2">
      <c r="A85" s="1">
        <v>45960</v>
      </c>
      <c r="B85" t="s">
        <v>238</v>
      </c>
      <c r="C85" t="s">
        <v>36</v>
      </c>
      <c r="D85" t="s">
        <v>28</v>
      </c>
      <c r="E85">
        <v>1</v>
      </c>
      <c r="F85">
        <v>2</v>
      </c>
      <c r="G85" t="s">
        <v>239</v>
      </c>
      <c r="H85" t="s">
        <v>240</v>
      </c>
      <c r="I85" t="s">
        <v>241</v>
      </c>
      <c r="J85" t="s">
        <v>242</v>
      </c>
      <c r="K85" t="s">
        <v>243</v>
      </c>
      <c r="L85" t="s">
        <v>49</v>
      </c>
      <c r="M85" t="s">
        <v>35</v>
      </c>
      <c r="N85" t="b">
        <v>0</v>
      </c>
      <c r="O85">
        <v>8.41</v>
      </c>
      <c r="P85">
        <v>15.6</v>
      </c>
      <c r="Q85" t="s">
        <v>186</v>
      </c>
      <c r="R85" t="s">
        <v>186</v>
      </c>
      <c r="S85">
        <v>-2.96</v>
      </c>
      <c r="T85">
        <v>12.51</v>
      </c>
      <c r="U85" t="s">
        <v>186</v>
      </c>
      <c r="V85" t="s">
        <v>186</v>
      </c>
      <c r="W85">
        <v>11.37</v>
      </c>
      <c r="X85">
        <v>3.09</v>
      </c>
      <c r="Y85" t="s">
        <v>186</v>
      </c>
      <c r="Z85" t="s">
        <v>186</v>
      </c>
      <c r="AA85" t="str">
        <f t="shared" si="1"/>
        <v>FIRST_MENTION_WITH_TICKERSBAKER_NAMED</v>
      </c>
      <c r="AB85" t="s">
        <v>349</v>
      </c>
      <c r="AC85" t="s">
        <v>345</v>
      </c>
    </row>
    <row r="86" spans="1:29" x14ac:dyDescent="0.2">
      <c r="A86" s="1">
        <v>45960</v>
      </c>
      <c r="B86" t="s">
        <v>175</v>
      </c>
      <c r="C86" t="s">
        <v>100</v>
      </c>
      <c r="D86" t="s">
        <v>28</v>
      </c>
      <c r="E86">
        <v>2</v>
      </c>
      <c r="F86">
        <v>4</v>
      </c>
      <c r="G86" t="s">
        <v>239</v>
      </c>
      <c r="H86" t="s">
        <v>244</v>
      </c>
      <c r="I86" t="s">
        <v>245</v>
      </c>
      <c r="J86" t="s">
        <v>246</v>
      </c>
      <c r="K86" t="s">
        <v>155</v>
      </c>
      <c r="L86" t="s">
        <v>49</v>
      </c>
      <c r="M86" t="s">
        <v>35</v>
      </c>
      <c r="N86" t="b">
        <v>0</v>
      </c>
      <c r="O86">
        <v>11.87</v>
      </c>
      <c r="P86">
        <v>22.18</v>
      </c>
      <c r="Q86" t="s">
        <v>186</v>
      </c>
      <c r="R86" t="s">
        <v>186</v>
      </c>
      <c r="S86">
        <v>-2.96</v>
      </c>
      <c r="T86">
        <v>12.51</v>
      </c>
      <c r="U86" t="s">
        <v>186</v>
      </c>
      <c r="V86" t="s">
        <v>186</v>
      </c>
      <c r="W86">
        <v>14.83</v>
      </c>
      <c r="X86">
        <v>9.67</v>
      </c>
      <c r="Y86" t="s">
        <v>186</v>
      </c>
      <c r="Z86" t="s">
        <v>186</v>
      </c>
      <c r="AA86" t="str">
        <f t="shared" si="1"/>
        <v>FIRST_HC_NOT_FIRST_MENTIONBAKER_NAMED</v>
      </c>
      <c r="AC86" t="s">
        <v>345</v>
      </c>
    </row>
    <row r="87" spans="1:29" x14ac:dyDescent="0.2">
      <c r="A87" s="1">
        <v>45960</v>
      </c>
      <c r="B87" t="s">
        <v>175</v>
      </c>
      <c r="C87" t="s">
        <v>36</v>
      </c>
      <c r="D87" t="s">
        <v>28</v>
      </c>
      <c r="E87">
        <v>2</v>
      </c>
      <c r="F87">
        <v>4</v>
      </c>
      <c r="G87" t="s">
        <v>239</v>
      </c>
      <c r="H87" t="s">
        <v>244</v>
      </c>
      <c r="I87" t="s">
        <v>245</v>
      </c>
      <c r="J87" t="s">
        <v>246</v>
      </c>
      <c r="K87" t="s">
        <v>155</v>
      </c>
      <c r="L87" t="s">
        <v>49</v>
      </c>
      <c r="M87" t="s">
        <v>35</v>
      </c>
      <c r="N87" t="b">
        <v>0</v>
      </c>
      <c r="O87">
        <v>11.87</v>
      </c>
      <c r="P87">
        <v>22.18</v>
      </c>
      <c r="Q87" t="s">
        <v>186</v>
      </c>
      <c r="R87" t="s">
        <v>186</v>
      </c>
      <c r="S87">
        <v>-2.96</v>
      </c>
      <c r="T87">
        <v>12.51</v>
      </c>
      <c r="U87" t="s">
        <v>186</v>
      </c>
      <c r="V87" t="s">
        <v>186</v>
      </c>
      <c r="W87">
        <v>14.83</v>
      </c>
      <c r="X87">
        <v>9.67</v>
      </c>
      <c r="Y87" t="s">
        <v>186</v>
      </c>
      <c r="Z87" t="s">
        <v>186</v>
      </c>
      <c r="AA87" t="str">
        <f t="shared" si="1"/>
        <v>FIRST_MENTION_WITH_TICKERSBAKER_NAMED</v>
      </c>
      <c r="AC87" t="s">
        <v>345</v>
      </c>
    </row>
    <row r="88" spans="1:29" x14ac:dyDescent="0.2">
      <c r="A88" s="1">
        <v>45976</v>
      </c>
      <c r="B88" t="s">
        <v>247</v>
      </c>
      <c r="C88" t="s">
        <v>27</v>
      </c>
      <c r="D88" t="s">
        <v>28</v>
      </c>
      <c r="E88">
        <v>1</v>
      </c>
      <c r="F88">
        <v>2</v>
      </c>
      <c r="G88" t="s">
        <v>248</v>
      </c>
      <c r="H88" t="s">
        <v>249</v>
      </c>
      <c r="I88" t="s">
        <v>250</v>
      </c>
      <c r="J88" t="s">
        <v>251</v>
      </c>
      <c r="K88" t="s">
        <v>53</v>
      </c>
      <c r="L88" t="s">
        <v>54</v>
      </c>
      <c r="M88" t="s">
        <v>65</v>
      </c>
      <c r="N88" t="b">
        <v>0</v>
      </c>
      <c r="O88">
        <v>0.31</v>
      </c>
      <c r="P88">
        <v>-20.92</v>
      </c>
      <c r="Q88" t="s">
        <v>186</v>
      </c>
      <c r="R88" t="s">
        <v>186</v>
      </c>
      <c r="S88">
        <v>-0.31</v>
      </c>
      <c r="T88">
        <v>20.92</v>
      </c>
      <c r="U88" t="s">
        <v>186</v>
      </c>
      <c r="V88" t="s">
        <v>186</v>
      </c>
      <c r="W88">
        <v>0.62</v>
      </c>
      <c r="X88">
        <v>-41.83</v>
      </c>
      <c r="Y88" t="s">
        <v>186</v>
      </c>
      <c r="Z88" t="s">
        <v>186</v>
      </c>
      <c r="AA88" t="str">
        <f t="shared" si="1"/>
        <v>FIRST_MENTION_AND_HCOBVIOUS_UNIVERSE</v>
      </c>
      <c r="AC88" t="s">
        <v>357</v>
      </c>
    </row>
    <row r="89" spans="1:29" x14ac:dyDescent="0.2">
      <c r="A89" s="1">
        <v>45976</v>
      </c>
      <c r="B89" t="s">
        <v>247</v>
      </c>
      <c r="C89" t="s">
        <v>36</v>
      </c>
      <c r="D89" t="s">
        <v>28</v>
      </c>
      <c r="E89">
        <v>1</v>
      </c>
      <c r="F89">
        <v>2</v>
      </c>
      <c r="G89" t="s">
        <v>248</v>
      </c>
      <c r="H89" t="s">
        <v>249</v>
      </c>
      <c r="I89" t="s">
        <v>250</v>
      </c>
      <c r="J89" t="s">
        <v>251</v>
      </c>
      <c r="K89" t="s">
        <v>53</v>
      </c>
      <c r="L89" t="s">
        <v>54</v>
      </c>
      <c r="M89" t="s">
        <v>65</v>
      </c>
      <c r="N89" t="b">
        <v>0</v>
      </c>
      <c r="O89">
        <v>0.31</v>
      </c>
      <c r="P89">
        <v>-20.92</v>
      </c>
      <c r="Q89" t="s">
        <v>186</v>
      </c>
      <c r="R89" t="s">
        <v>186</v>
      </c>
      <c r="S89">
        <v>-0.31</v>
      </c>
      <c r="T89">
        <v>20.92</v>
      </c>
      <c r="U89" t="s">
        <v>186</v>
      </c>
      <c r="V89" t="s">
        <v>186</v>
      </c>
      <c r="W89">
        <v>0.62</v>
      </c>
      <c r="X89">
        <v>-41.83</v>
      </c>
      <c r="Y89" t="s">
        <v>186</v>
      </c>
      <c r="Z89" t="s">
        <v>186</v>
      </c>
      <c r="AA89" t="str">
        <f t="shared" si="1"/>
        <v>FIRST_MENTION_WITH_TICKERSOBVIOUS_UNIVERSE</v>
      </c>
      <c r="AC89" t="s">
        <v>357</v>
      </c>
    </row>
    <row r="90" spans="1:29" x14ac:dyDescent="0.2">
      <c r="A90" s="1">
        <v>45976</v>
      </c>
      <c r="B90" t="s">
        <v>252</v>
      </c>
      <c r="C90" t="s">
        <v>27</v>
      </c>
      <c r="D90" t="s">
        <v>28</v>
      </c>
      <c r="E90">
        <v>1</v>
      </c>
      <c r="F90">
        <v>2</v>
      </c>
      <c r="G90" t="s">
        <v>248</v>
      </c>
      <c r="H90" t="s">
        <v>253</v>
      </c>
      <c r="I90" t="s">
        <v>254</v>
      </c>
      <c r="J90" t="s">
        <v>255</v>
      </c>
      <c r="K90" t="s">
        <v>256</v>
      </c>
      <c r="L90" t="s">
        <v>54</v>
      </c>
      <c r="M90" t="s">
        <v>35</v>
      </c>
      <c r="N90" t="b">
        <v>0</v>
      </c>
      <c r="O90">
        <v>-14.31</v>
      </c>
      <c r="P90">
        <v>28.95</v>
      </c>
      <c r="Q90" t="s">
        <v>186</v>
      </c>
      <c r="R90" t="s">
        <v>186</v>
      </c>
      <c r="S90">
        <v>-0.31</v>
      </c>
      <c r="T90">
        <v>20.92</v>
      </c>
      <c r="U90" t="s">
        <v>186</v>
      </c>
      <c r="V90" t="s">
        <v>186</v>
      </c>
      <c r="W90">
        <v>-14</v>
      </c>
      <c r="X90">
        <v>8.0399999999999991</v>
      </c>
      <c r="Y90" t="s">
        <v>186</v>
      </c>
      <c r="Z90" t="s">
        <v>186</v>
      </c>
      <c r="AA90" t="str">
        <f t="shared" si="1"/>
        <v>FIRST_MENTION_AND_HCOBVIOUS_UNIVERSE</v>
      </c>
      <c r="AC90" t="s">
        <v>353</v>
      </c>
    </row>
    <row r="91" spans="1:29" x14ac:dyDescent="0.2">
      <c r="A91" s="1">
        <v>45976</v>
      </c>
      <c r="B91" t="s">
        <v>252</v>
      </c>
      <c r="C91" t="s">
        <v>36</v>
      </c>
      <c r="D91" t="s">
        <v>28</v>
      </c>
      <c r="E91">
        <v>1</v>
      </c>
      <c r="F91">
        <v>2</v>
      </c>
      <c r="G91" t="s">
        <v>248</v>
      </c>
      <c r="H91" t="s">
        <v>253</v>
      </c>
      <c r="I91" t="s">
        <v>254</v>
      </c>
      <c r="J91" t="s">
        <v>255</v>
      </c>
      <c r="K91" t="s">
        <v>256</v>
      </c>
      <c r="L91" t="s">
        <v>54</v>
      </c>
      <c r="M91" t="s">
        <v>35</v>
      </c>
      <c r="N91" t="b">
        <v>0</v>
      </c>
      <c r="O91">
        <v>-14.31</v>
      </c>
      <c r="P91">
        <v>28.95</v>
      </c>
      <c r="Q91" t="s">
        <v>186</v>
      </c>
      <c r="R91" t="s">
        <v>186</v>
      </c>
      <c r="S91">
        <v>-0.31</v>
      </c>
      <c r="T91">
        <v>20.92</v>
      </c>
      <c r="U91" t="s">
        <v>186</v>
      </c>
      <c r="V91" t="s">
        <v>186</v>
      </c>
      <c r="W91">
        <v>-14</v>
      </c>
      <c r="X91">
        <v>8.0399999999999991</v>
      </c>
      <c r="Y91" t="s">
        <v>186</v>
      </c>
      <c r="Z91" t="s">
        <v>186</v>
      </c>
      <c r="AA91" t="str">
        <f t="shared" si="1"/>
        <v>FIRST_MENTION_WITH_TICKERSOBVIOUS_UNIVERSE</v>
      </c>
      <c r="AC91" t="s">
        <v>353</v>
      </c>
    </row>
    <row r="92" spans="1:29" x14ac:dyDescent="0.2">
      <c r="A92" s="1">
        <v>45976</v>
      </c>
      <c r="B92" t="s">
        <v>257</v>
      </c>
      <c r="C92" t="s">
        <v>38</v>
      </c>
      <c r="D92" t="s">
        <v>39</v>
      </c>
      <c r="E92">
        <v>1</v>
      </c>
      <c r="F92">
        <v>2</v>
      </c>
      <c r="G92" t="s">
        <v>248</v>
      </c>
      <c r="H92" t="s">
        <v>258</v>
      </c>
      <c r="I92" t="s">
        <v>259</v>
      </c>
      <c r="J92" t="s">
        <v>260</v>
      </c>
      <c r="K92" t="s">
        <v>260</v>
      </c>
      <c r="L92" t="s">
        <v>49</v>
      </c>
      <c r="M92" t="s">
        <v>35</v>
      </c>
      <c r="N92" t="b">
        <v>0</v>
      </c>
      <c r="O92">
        <v>7.98</v>
      </c>
      <c r="P92">
        <v>7.19</v>
      </c>
      <c r="Q92" t="s">
        <v>186</v>
      </c>
      <c r="R92" t="s">
        <v>186</v>
      </c>
      <c r="S92">
        <v>-0.31</v>
      </c>
      <c r="T92">
        <v>20.92</v>
      </c>
      <c r="U92" t="s">
        <v>186</v>
      </c>
      <c r="V92" t="s">
        <v>186</v>
      </c>
      <c r="W92">
        <v>8.2899999999999991</v>
      </c>
      <c r="X92">
        <v>-13.72</v>
      </c>
      <c r="Y92" t="s">
        <v>186</v>
      </c>
      <c r="Z92" t="s">
        <v>186</v>
      </c>
      <c r="AA92" t="str">
        <f t="shared" si="1"/>
        <v>FIRST_MENTIONBAKER_NAMED</v>
      </c>
      <c r="AC92" t="s">
        <v>348</v>
      </c>
    </row>
    <row r="93" spans="1:29" x14ac:dyDescent="0.2">
      <c r="A93" s="1">
        <v>45976</v>
      </c>
      <c r="B93" t="s">
        <v>257</v>
      </c>
      <c r="C93" t="s">
        <v>36</v>
      </c>
      <c r="D93" t="s">
        <v>39</v>
      </c>
      <c r="E93">
        <v>1</v>
      </c>
      <c r="F93">
        <v>2</v>
      </c>
      <c r="G93" t="s">
        <v>248</v>
      </c>
      <c r="H93" t="s">
        <v>258</v>
      </c>
      <c r="I93" t="s">
        <v>259</v>
      </c>
      <c r="J93" t="s">
        <v>260</v>
      </c>
      <c r="K93" t="s">
        <v>260</v>
      </c>
      <c r="L93" t="s">
        <v>49</v>
      </c>
      <c r="M93" t="s">
        <v>35</v>
      </c>
      <c r="N93" t="b">
        <v>0</v>
      </c>
      <c r="O93">
        <v>7.98</v>
      </c>
      <c r="P93">
        <v>7.19</v>
      </c>
      <c r="Q93" t="s">
        <v>186</v>
      </c>
      <c r="R93" t="s">
        <v>186</v>
      </c>
      <c r="S93">
        <v>-0.31</v>
      </c>
      <c r="T93">
        <v>20.92</v>
      </c>
      <c r="U93" t="s">
        <v>186</v>
      </c>
      <c r="V93" t="s">
        <v>186</v>
      </c>
      <c r="W93">
        <v>8.2899999999999991</v>
      </c>
      <c r="X93">
        <v>-13.72</v>
      </c>
      <c r="Y93" t="s">
        <v>186</v>
      </c>
      <c r="Z93" t="s">
        <v>186</v>
      </c>
      <c r="AA93" t="str">
        <f t="shared" si="1"/>
        <v>FIRST_MENTION_WITH_TICKERSBAKER_NAMED</v>
      </c>
      <c r="AC93" t="s">
        <v>348</v>
      </c>
    </row>
    <row r="94" spans="1:29" x14ac:dyDescent="0.2">
      <c r="A94" s="1">
        <v>45976</v>
      </c>
      <c r="B94" t="s">
        <v>131</v>
      </c>
      <c r="C94" t="s">
        <v>100</v>
      </c>
      <c r="D94" t="s">
        <v>28</v>
      </c>
      <c r="E94">
        <v>3</v>
      </c>
      <c r="F94">
        <v>8</v>
      </c>
      <c r="G94" t="s">
        <v>248</v>
      </c>
      <c r="H94" t="s">
        <v>261</v>
      </c>
      <c r="I94" t="s">
        <v>262</v>
      </c>
      <c r="K94" t="s">
        <v>134</v>
      </c>
      <c r="L94" t="s">
        <v>102</v>
      </c>
      <c r="M94" t="s">
        <v>35</v>
      </c>
      <c r="N94" t="b">
        <v>1</v>
      </c>
      <c r="O94">
        <v>17.14</v>
      </c>
      <c r="P94">
        <v>73.760000000000005</v>
      </c>
      <c r="Q94" t="s">
        <v>186</v>
      </c>
      <c r="R94" t="s">
        <v>186</v>
      </c>
      <c r="S94">
        <v>-0.31</v>
      </c>
      <c r="T94">
        <v>20.92</v>
      </c>
      <c r="U94" t="s">
        <v>186</v>
      </c>
      <c r="V94" t="s">
        <v>186</v>
      </c>
      <c r="W94">
        <v>17.45</v>
      </c>
      <c r="X94">
        <v>52.85</v>
      </c>
      <c r="Y94" t="s">
        <v>186</v>
      </c>
      <c r="Z94" t="s">
        <v>186</v>
      </c>
      <c r="AA94" t="str">
        <f t="shared" si="1"/>
        <v>FIRST_HC_NOT_FIRST_MENTIONRETAIL_PROXY</v>
      </c>
    </row>
    <row r="95" spans="1:29" x14ac:dyDescent="0.2">
      <c r="A95" s="1">
        <v>45976</v>
      </c>
      <c r="B95" t="s">
        <v>263</v>
      </c>
      <c r="C95" t="s">
        <v>27</v>
      </c>
      <c r="D95" t="s">
        <v>28</v>
      </c>
      <c r="E95">
        <v>1</v>
      </c>
      <c r="F95">
        <v>1</v>
      </c>
      <c r="G95" t="s">
        <v>248</v>
      </c>
      <c r="H95" t="s">
        <v>264</v>
      </c>
      <c r="I95" t="s">
        <v>265</v>
      </c>
      <c r="L95" t="s">
        <v>43</v>
      </c>
      <c r="M95" t="s">
        <v>35</v>
      </c>
      <c r="N95" t="b">
        <v>0</v>
      </c>
      <c r="O95" t="s">
        <v>43</v>
      </c>
      <c r="P95" t="s">
        <v>43</v>
      </c>
      <c r="Q95" t="s">
        <v>186</v>
      </c>
      <c r="R95" t="s">
        <v>186</v>
      </c>
      <c r="S95">
        <v>-0.31</v>
      </c>
      <c r="T95">
        <v>20.92</v>
      </c>
      <c r="U95" t="s">
        <v>186</v>
      </c>
      <c r="V95" t="s">
        <v>186</v>
      </c>
      <c r="W95" t="s">
        <v>43</v>
      </c>
      <c r="X95" t="s">
        <v>43</v>
      </c>
      <c r="Y95" t="s">
        <v>186</v>
      </c>
      <c r="Z95" t="s">
        <v>186</v>
      </c>
      <c r="AA95" t="str">
        <f t="shared" si="1"/>
        <v>FIRST_MENTION_AND_HCNO_BASKET</v>
      </c>
    </row>
    <row r="96" spans="1:29" x14ac:dyDescent="0.2">
      <c r="A96" s="1">
        <v>46000</v>
      </c>
      <c r="B96" t="s">
        <v>58</v>
      </c>
      <c r="C96" t="s">
        <v>66</v>
      </c>
      <c r="D96" t="s">
        <v>266</v>
      </c>
      <c r="E96">
        <v>8</v>
      </c>
      <c r="F96">
        <v>11</v>
      </c>
      <c r="G96" t="s">
        <v>267</v>
      </c>
      <c r="H96" t="s">
        <v>268</v>
      </c>
      <c r="I96" t="s">
        <v>269</v>
      </c>
      <c r="J96" t="s">
        <v>59</v>
      </c>
      <c r="K96" t="s">
        <v>59</v>
      </c>
      <c r="L96" t="s">
        <v>54</v>
      </c>
      <c r="M96" t="s">
        <v>35</v>
      </c>
      <c r="N96" t="b">
        <v>0</v>
      </c>
      <c r="O96">
        <v>36.770000000000003</v>
      </c>
      <c r="P96">
        <v>60.65</v>
      </c>
      <c r="Q96" t="s">
        <v>186</v>
      </c>
      <c r="R96" t="s">
        <v>186</v>
      </c>
      <c r="S96">
        <v>5.81</v>
      </c>
      <c r="T96">
        <v>5.51</v>
      </c>
      <c r="U96" t="s">
        <v>186</v>
      </c>
      <c r="V96" t="s">
        <v>186</v>
      </c>
      <c r="W96">
        <v>30.96</v>
      </c>
      <c r="X96">
        <v>55.14</v>
      </c>
      <c r="Y96" t="s">
        <v>186</v>
      </c>
      <c r="Z96" t="s">
        <v>186</v>
      </c>
      <c r="AA96" t="str">
        <f t="shared" si="1"/>
        <v>THESIS_REVERSALOBVIOUS_UNIVERSE</v>
      </c>
      <c r="AC96" t="s">
        <v>357</v>
      </c>
    </row>
    <row r="97" spans="1:29" x14ac:dyDescent="0.2">
      <c r="A97" s="1">
        <v>46000</v>
      </c>
      <c r="B97" t="s">
        <v>147</v>
      </c>
      <c r="C97" t="s">
        <v>36</v>
      </c>
      <c r="D97" t="s">
        <v>39</v>
      </c>
      <c r="E97">
        <v>2</v>
      </c>
      <c r="F97">
        <v>2</v>
      </c>
      <c r="G97" t="s">
        <v>267</v>
      </c>
      <c r="H97" t="s">
        <v>270</v>
      </c>
      <c r="I97" t="s">
        <v>271</v>
      </c>
      <c r="J97" t="s">
        <v>272</v>
      </c>
      <c r="K97" t="s">
        <v>150</v>
      </c>
      <c r="L97" t="s">
        <v>34</v>
      </c>
      <c r="M97" t="s">
        <v>111</v>
      </c>
      <c r="N97" t="b">
        <v>0</v>
      </c>
      <c r="O97">
        <v>-2.71</v>
      </c>
      <c r="P97">
        <v>-16.32</v>
      </c>
      <c r="Q97" t="s">
        <v>186</v>
      </c>
      <c r="R97" t="s">
        <v>186</v>
      </c>
      <c r="S97">
        <v>5.81</v>
      </c>
      <c r="T97">
        <v>5.51</v>
      </c>
      <c r="U97" t="s">
        <v>186</v>
      </c>
      <c r="V97" t="s">
        <v>186</v>
      </c>
      <c r="W97">
        <v>-8.51</v>
      </c>
      <c r="X97">
        <v>-21.83</v>
      </c>
      <c r="Y97" t="s">
        <v>186</v>
      </c>
      <c r="Z97" t="s">
        <v>186</v>
      </c>
      <c r="AA97" t="str">
        <f t="shared" si="1"/>
        <v>FIRST_MENTION_WITH_TICKERSCONSTRUCTED</v>
      </c>
      <c r="AC97" t="s">
        <v>357</v>
      </c>
    </row>
    <row r="98" spans="1:29" x14ac:dyDescent="0.2">
      <c r="A98" s="1">
        <v>46000</v>
      </c>
      <c r="B98" t="s">
        <v>273</v>
      </c>
      <c r="C98" t="s">
        <v>27</v>
      </c>
      <c r="D98" t="s">
        <v>28</v>
      </c>
      <c r="E98">
        <v>1</v>
      </c>
      <c r="F98">
        <v>1</v>
      </c>
      <c r="G98" t="s">
        <v>267</v>
      </c>
      <c r="H98" t="s">
        <v>274</v>
      </c>
      <c r="I98" t="s">
        <v>275</v>
      </c>
      <c r="L98" t="s">
        <v>43</v>
      </c>
      <c r="M98" t="s">
        <v>65</v>
      </c>
      <c r="N98" t="b">
        <v>0</v>
      </c>
      <c r="O98" t="s">
        <v>43</v>
      </c>
      <c r="P98" t="s">
        <v>43</v>
      </c>
      <c r="Q98" t="s">
        <v>186</v>
      </c>
      <c r="R98" t="s">
        <v>186</v>
      </c>
      <c r="S98">
        <v>5.81</v>
      </c>
      <c r="T98">
        <v>5.51</v>
      </c>
      <c r="U98" t="s">
        <v>186</v>
      </c>
      <c r="V98" t="s">
        <v>186</v>
      </c>
      <c r="W98" t="s">
        <v>43</v>
      </c>
      <c r="X98" t="s">
        <v>43</v>
      </c>
      <c r="Y98" t="s">
        <v>186</v>
      </c>
      <c r="Z98" t="s">
        <v>186</v>
      </c>
      <c r="AA98" t="str">
        <f t="shared" si="1"/>
        <v>FIRST_MENTION_AND_HCNO_BASKET</v>
      </c>
    </row>
    <row r="99" spans="1:29" x14ac:dyDescent="0.2">
      <c r="A99" s="1">
        <v>46000</v>
      </c>
      <c r="B99" t="s">
        <v>276</v>
      </c>
      <c r="C99" t="s">
        <v>38</v>
      </c>
      <c r="D99" t="s">
        <v>39</v>
      </c>
      <c r="E99">
        <v>1</v>
      </c>
      <c r="F99">
        <v>3</v>
      </c>
      <c r="G99" t="s">
        <v>267</v>
      </c>
      <c r="H99" t="s">
        <v>277</v>
      </c>
      <c r="I99" t="s">
        <v>278</v>
      </c>
      <c r="J99" t="s">
        <v>279</v>
      </c>
      <c r="K99" t="s">
        <v>53</v>
      </c>
      <c r="L99" t="s">
        <v>54</v>
      </c>
      <c r="M99" t="s">
        <v>35</v>
      </c>
      <c r="N99" t="b">
        <v>0</v>
      </c>
      <c r="O99">
        <v>5.81</v>
      </c>
      <c r="P99">
        <v>5.51</v>
      </c>
      <c r="Q99" t="s">
        <v>186</v>
      </c>
      <c r="R99" t="s">
        <v>186</v>
      </c>
      <c r="S99">
        <v>5.81</v>
      </c>
      <c r="T99">
        <v>5.51</v>
      </c>
      <c r="U99" t="s">
        <v>186</v>
      </c>
      <c r="V99" t="s">
        <v>186</v>
      </c>
      <c r="W99">
        <v>0</v>
      </c>
      <c r="X99">
        <v>0</v>
      </c>
      <c r="Y99" t="s">
        <v>186</v>
      </c>
      <c r="Z99" t="s">
        <v>186</v>
      </c>
      <c r="AA99" t="str">
        <f t="shared" si="1"/>
        <v>FIRST_MENTIONOBVIOUS_UNIVERSE</v>
      </c>
    </row>
    <row r="100" spans="1:29" x14ac:dyDescent="0.2">
      <c r="A100" s="1">
        <v>46000</v>
      </c>
      <c r="B100" t="s">
        <v>276</v>
      </c>
      <c r="C100" t="s">
        <v>36</v>
      </c>
      <c r="D100" t="s">
        <v>39</v>
      </c>
      <c r="E100">
        <v>1</v>
      </c>
      <c r="F100">
        <v>3</v>
      </c>
      <c r="G100" t="s">
        <v>267</v>
      </c>
      <c r="H100" t="s">
        <v>277</v>
      </c>
      <c r="I100" t="s">
        <v>278</v>
      </c>
      <c r="J100" t="s">
        <v>279</v>
      </c>
      <c r="K100" t="s">
        <v>53</v>
      </c>
      <c r="L100" t="s">
        <v>54</v>
      </c>
      <c r="M100" t="s">
        <v>35</v>
      </c>
      <c r="N100" t="b">
        <v>0</v>
      </c>
      <c r="O100">
        <v>5.81</v>
      </c>
      <c r="P100">
        <v>5.51</v>
      </c>
      <c r="Q100" t="s">
        <v>186</v>
      </c>
      <c r="R100" t="s">
        <v>186</v>
      </c>
      <c r="S100">
        <v>5.81</v>
      </c>
      <c r="T100">
        <v>5.51</v>
      </c>
      <c r="U100" t="s">
        <v>186</v>
      </c>
      <c r="V100" t="s">
        <v>186</v>
      </c>
      <c r="W100">
        <v>0</v>
      </c>
      <c r="X100">
        <v>0</v>
      </c>
      <c r="Y100" t="s">
        <v>186</v>
      </c>
      <c r="Z100" t="s">
        <v>186</v>
      </c>
      <c r="AA100" t="str">
        <f t="shared" si="1"/>
        <v>FIRST_MENTION_WITH_TICKERSOBVIOUS_UNIVERSE</v>
      </c>
    </row>
    <row r="101" spans="1:29" x14ac:dyDescent="0.2">
      <c r="A101" s="1">
        <v>46000</v>
      </c>
      <c r="B101" t="s">
        <v>276</v>
      </c>
      <c r="C101" t="s">
        <v>66</v>
      </c>
      <c r="D101" t="s">
        <v>39</v>
      </c>
      <c r="E101">
        <v>1</v>
      </c>
      <c r="F101">
        <v>3</v>
      </c>
      <c r="G101" t="s">
        <v>267</v>
      </c>
      <c r="H101" t="s">
        <v>277</v>
      </c>
      <c r="I101" t="s">
        <v>278</v>
      </c>
      <c r="J101" t="s">
        <v>279</v>
      </c>
      <c r="K101" t="s">
        <v>53</v>
      </c>
      <c r="L101" t="s">
        <v>54</v>
      </c>
      <c r="M101" t="s">
        <v>35</v>
      </c>
      <c r="N101" t="b">
        <v>0</v>
      </c>
      <c r="O101">
        <v>5.81</v>
      </c>
      <c r="P101">
        <v>5.51</v>
      </c>
      <c r="Q101" t="s">
        <v>186</v>
      </c>
      <c r="R101" t="s">
        <v>186</v>
      </c>
      <c r="S101">
        <v>5.81</v>
      </c>
      <c r="T101">
        <v>5.51</v>
      </c>
      <c r="U101" t="s">
        <v>186</v>
      </c>
      <c r="V101" t="s">
        <v>186</v>
      </c>
      <c r="W101">
        <v>0</v>
      </c>
      <c r="X101">
        <v>0</v>
      </c>
      <c r="Y101" t="s">
        <v>186</v>
      </c>
      <c r="Z101" t="s">
        <v>186</v>
      </c>
      <c r="AA101" t="str">
        <f t="shared" si="1"/>
        <v>THESIS_REVERSALOBVIOUS_UNIVERSE</v>
      </c>
    </row>
    <row r="102" spans="1:29" x14ac:dyDescent="0.2">
      <c r="A102" s="1">
        <v>46000</v>
      </c>
      <c r="B102" t="s">
        <v>280</v>
      </c>
      <c r="C102" t="s">
        <v>27</v>
      </c>
      <c r="D102" t="s">
        <v>28</v>
      </c>
      <c r="E102">
        <v>1</v>
      </c>
      <c r="F102">
        <v>3</v>
      </c>
      <c r="G102" t="s">
        <v>267</v>
      </c>
      <c r="H102" t="s">
        <v>281</v>
      </c>
      <c r="I102" t="s">
        <v>282</v>
      </c>
      <c r="J102" t="s">
        <v>283</v>
      </c>
      <c r="K102" t="s">
        <v>284</v>
      </c>
      <c r="L102" t="s">
        <v>49</v>
      </c>
      <c r="M102" t="s">
        <v>35</v>
      </c>
      <c r="N102" t="b">
        <v>0</v>
      </c>
      <c r="O102">
        <v>8.5399999999999991</v>
      </c>
      <c r="P102">
        <v>-8.07</v>
      </c>
      <c r="Q102" t="s">
        <v>186</v>
      </c>
      <c r="R102" t="s">
        <v>186</v>
      </c>
      <c r="S102">
        <v>5.81</v>
      </c>
      <c r="T102">
        <v>5.51</v>
      </c>
      <c r="U102" t="s">
        <v>186</v>
      </c>
      <c r="V102" t="s">
        <v>186</v>
      </c>
      <c r="W102">
        <v>2.73</v>
      </c>
      <c r="X102">
        <v>-13.58</v>
      </c>
      <c r="Y102" t="s">
        <v>186</v>
      </c>
      <c r="Z102" t="s">
        <v>186</v>
      </c>
      <c r="AA102" t="str">
        <f t="shared" si="1"/>
        <v>FIRST_MENTION_AND_HCBAKER_NAMED</v>
      </c>
      <c r="AC102" t="s">
        <v>348</v>
      </c>
    </row>
    <row r="103" spans="1:29" x14ac:dyDescent="0.2">
      <c r="A103" s="1">
        <v>46000</v>
      </c>
      <c r="B103" t="s">
        <v>280</v>
      </c>
      <c r="C103" t="s">
        <v>36</v>
      </c>
      <c r="D103" t="s">
        <v>39</v>
      </c>
      <c r="E103">
        <v>1</v>
      </c>
      <c r="F103">
        <v>3</v>
      </c>
      <c r="G103" t="s">
        <v>267</v>
      </c>
      <c r="H103" t="s">
        <v>285</v>
      </c>
      <c r="I103" t="s">
        <v>286</v>
      </c>
      <c r="J103" t="s">
        <v>287</v>
      </c>
      <c r="K103" t="s">
        <v>284</v>
      </c>
      <c r="L103" t="s">
        <v>49</v>
      </c>
      <c r="M103" t="s">
        <v>35</v>
      </c>
      <c r="N103" t="b">
        <v>0</v>
      </c>
      <c r="O103">
        <v>8.5399999999999991</v>
      </c>
      <c r="P103">
        <v>-8.07</v>
      </c>
      <c r="Q103" t="s">
        <v>186</v>
      </c>
      <c r="R103" t="s">
        <v>186</v>
      </c>
      <c r="S103">
        <v>5.81</v>
      </c>
      <c r="T103">
        <v>5.51</v>
      </c>
      <c r="U103" t="s">
        <v>186</v>
      </c>
      <c r="V103" t="s">
        <v>186</v>
      </c>
      <c r="W103">
        <v>2.73</v>
      </c>
      <c r="X103">
        <v>-13.58</v>
      </c>
      <c r="Y103" t="s">
        <v>186</v>
      </c>
      <c r="Z103" t="s">
        <v>186</v>
      </c>
      <c r="AA103" t="str">
        <f t="shared" si="1"/>
        <v>FIRST_MENTION_WITH_TICKERSBAKER_NAMED</v>
      </c>
      <c r="AC103" t="s">
        <v>348</v>
      </c>
    </row>
    <row r="104" spans="1:29" x14ac:dyDescent="0.2">
      <c r="A104" s="1">
        <v>46068</v>
      </c>
      <c r="B104" t="s">
        <v>131</v>
      </c>
      <c r="C104" t="s">
        <v>36</v>
      </c>
      <c r="D104" t="s">
        <v>39</v>
      </c>
      <c r="E104">
        <v>5</v>
      </c>
      <c r="F104">
        <v>8</v>
      </c>
      <c r="G104" t="s">
        <v>288</v>
      </c>
      <c r="H104" t="s">
        <v>289</v>
      </c>
      <c r="I104" t="s">
        <v>290</v>
      </c>
      <c r="J104" t="s">
        <v>155</v>
      </c>
      <c r="K104" t="s">
        <v>134</v>
      </c>
      <c r="L104" t="s">
        <v>102</v>
      </c>
      <c r="M104" t="s">
        <v>35</v>
      </c>
      <c r="N104" t="b">
        <v>1</v>
      </c>
      <c r="O104">
        <v>9.26</v>
      </c>
      <c r="P104">
        <v>67.209999999999994</v>
      </c>
      <c r="Q104" t="s">
        <v>186</v>
      </c>
      <c r="R104" t="s">
        <v>186</v>
      </c>
      <c r="S104">
        <v>-3.4</v>
      </c>
      <c r="T104">
        <v>34.020000000000003</v>
      </c>
      <c r="U104" t="s">
        <v>186</v>
      </c>
      <c r="V104" t="s">
        <v>186</v>
      </c>
      <c r="W104">
        <v>12.66</v>
      </c>
      <c r="X104">
        <v>33.19</v>
      </c>
      <c r="Y104" t="s">
        <v>186</v>
      </c>
      <c r="Z104" t="s">
        <v>186</v>
      </c>
      <c r="AA104" t="str">
        <f t="shared" si="1"/>
        <v>FIRST_MENTION_WITH_TICKERSRETAIL_PROXY</v>
      </c>
    </row>
    <row r="105" spans="1:29" x14ac:dyDescent="0.2">
      <c r="A105" s="1">
        <v>46154</v>
      </c>
      <c r="B105" t="s">
        <v>58</v>
      </c>
      <c r="C105" t="s">
        <v>76</v>
      </c>
      <c r="D105" t="s">
        <v>28</v>
      </c>
      <c r="E105">
        <v>9</v>
      </c>
      <c r="F105">
        <v>11</v>
      </c>
      <c r="G105" t="s">
        <v>291</v>
      </c>
      <c r="H105" t="s">
        <v>292</v>
      </c>
      <c r="I105" t="s">
        <v>293</v>
      </c>
      <c r="J105" t="s">
        <v>294</v>
      </c>
      <c r="K105" t="s">
        <v>59</v>
      </c>
      <c r="L105" t="s">
        <v>54</v>
      </c>
      <c r="M105" t="s">
        <v>35</v>
      </c>
      <c r="N105" t="b">
        <v>0</v>
      </c>
      <c r="O105">
        <v>29.91</v>
      </c>
      <c r="P105" t="s">
        <v>186</v>
      </c>
      <c r="Q105" t="s">
        <v>186</v>
      </c>
      <c r="R105" t="s">
        <v>186</v>
      </c>
      <c r="S105">
        <v>8.59</v>
      </c>
      <c r="T105" t="s">
        <v>186</v>
      </c>
      <c r="U105" t="s">
        <v>186</v>
      </c>
      <c r="V105" t="s">
        <v>186</v>
      </c>
      <c r="W105">
        <v>21.32</v>
      </c>
      <c r="X105" t="s">
        <v>186</v>
      </c>
      <c r="Y105" t="s">
        <v>186</v>
      </c>
      <c r="Z105" t="s">
        <v>186</v>
      </c>
      <c r="AA105" t="str">
        <f t="shared" si="1"/>
        <v>HC_HIGH_PROFILE_VENUEOBVIOUS_UNIVERSE</v>
      </c>
      <c r="AC105" t="s">
        <v>357</v>
      </c>
    </row>
    <row r="106" spans="1:29" x14ac:dyDescent="0.2">
      <c r="A106" s="1">
        <v>46154</v>
      </c>
      <c r="B106" t="s">
        <v>295</v>
      </c>
      <c r="C106" t="s">
        <v>27</v>
      </c>
      <c r="D106" t="s">
        <v>28</v>
      </c>
      <c r="E106">
        <v>1</v>
      </c>
      <c r="F106">
        <v>1</v>
      </c>
      <c r="G106" t="s">
        <v>296</v>
      </c>
      <c r="H106" t="s">
        <v>297</v>
      </c>
      <c r="I106" t="s">
        <v>298</v>
      </c>
      <c r="J106" t="s">
        <v>299</v>
      </c>
      <c r="K106" t="s">
        <v>256</v>
      </c>
      <c r="L106" t="s">
        <v>54</v>
      </c>
      <c r="M106" t="s">
        <v>35</v>
      </c>
      <c r="N106" t="b">
        <v>0</v>
      </c>
      <c r="O106">
        <v>-11.15</v>
      </c>
      <c r="P106" t="s">
        <v>186</v>
      </c>
      <c r="Q106" t="s">
        <v>186</v>
      </c>
      <c r="R106" t="s">
        <v>186</v>
      </c>
      <c r="S106">
        <v>8.59</v>
      </c>
      <c r="T106" t="s">
        <v>186</v>
      </c>
      <c r="U106" t="s">
        <v>186</v>
      </c>
      <c r="V106" t="s">
        <v>186</v>
      </c>
      <c r="W106">
        <v>-19.73</v>
      </c>
      <c r="X106" t="s">
        <v>186</v>
      </c>
      <c r="Y106" t="s">
        <v>186</v>
      </c>
      <c r="Z106" t="s">
        <v>186</v>
      </c>
      <c r="AA106" t="str">
        <f t="shared" si="1"/>
        <v>FIRST_MENTION_AND_HCOBVIOUS_UNIVERSE</v>
      </c>
      <c r="AC106" t="s">
        <v>358</v>
      </c>
    </row>
    <row r="107" spans="1:29" x14ac:dyDescent="0.2">
      <c r="A107" s="1">
        <v>46154</v>
      </c>
      <c r="B107" t="s">
        <v>295</v>
      </c>
      <c r="C107" t="s">
        <v>36</v>
      </c>
      <c r="D107" t="s">
        <v>28</v>
      </c>
      <c r="E107">
        <v>1</v>
      </c>
      <c r="F107">
        <v>1</v>
      </c>
      <c r="G107" t="s">
        <v>296</v>
      </c>
      <c r="H107" t="s">
        <v>297</v>
      </c>
      <c r="I107" t="s">
        <v>298</v>
      </c>
      <c r="J107" t="s">
        <v>299</v>
      </c>
      <c r="K107" t="s">
        <v>256</v>
      </c>
      <c r="L107" t="s">
        <v>54</v>
      </c>
      <c r="M107" t="s">
        <v>35</v>
      </c>
      <c r="N107" t="b">
        <v>0</v>
      </c>
      <c r="O107">
        <v>-11.15</v>
      </c>
      <c r="P107" t="s">
        <v>186</v>
      </c>
      <c r="Q107" t="s">
        <v>186</v>
      </c>
      <c r="R107" t="s">
        <v>186</v>
      </c>
      <c r="S107">
        <v>8.59</v>
      </c>
      <c r="T107" t="s">
        <v>186</v>
      </c>
      <c r="U107" t="s">
        <v>186</v>
      </c>
      <c r="V107" t="s">
        <v>186</v>
      </c>
      <c r="W107">
        <v>-19.73</v>
      </c>
      <c r="X107" t="s">
        <v>186</v>
      </c>
      <c r="Y107" t="s">
        <v>186</v>
      </c>
      <c r="Z107" t="s">
        <v>186</v>
      </c>
      <c r="AA107" t="str">
        <f t="shared" si="1"/>
        <v>FIRST_MENTION_WITH_TICKERSOBVIOUS_UNIVERSE</v>
      </c>
      <c r="AC107" t="s">
        <v>358</v>
      </c>
    </row>
    <row r="108" spans="1:29" x14ac:dyDescent="0.2">
      <c r="A108" s="1">
        <v>46154</v>
      </c>
      <c r="B108" t="s">
        <v>295</v>
      </c>
      <c r="C108" t="s">
        <v>76</v>
      </c>
      <c r="D108" t="s">
        <v>28</v>
      </c>
      <c r="E108">
        <v>1</v>
      </c>
      <c r="F108">
        <v>1</v>
      </c>
      <c r="G108" t="s">
        <v>296</v>
      </c>
      <c r="H108" t="s">
        <v>297</v>
      </c>
      <c r="I108" t="s">
        <v>298</v>
      </c>
      <c r="J108" t="s">
        <v>299</v>
      </c>
      <c r="K108" t="s">
        <v>256</v>
      </c>
      <c r="L108" t="s">
        <v>54</v>
      </c>
      <c r="M108" t="s">
        <v>35</v>
      </c>
      <c r="N108" t="b">
        <v>0</v>
      </c>
      <c r="O108">
        <v>-11.15</v>
      </c>
      <c r="P108" t="s">
        <v>186</v>
      </c>
      <c r="Q108" t="s">
        <v>186</v>
      </c>
      <c r="R108" t="s">
        <v>186</v>
      </c>
      <c r="S108">
        <v>8.59</v>
      </c>
      <c r="T108" t="s">
        <v>186</v>
      </c>
      <c r="U108" t="s">
        <v>186</v>
      </c>
      <c r="V108" t="s">
        <v>186</v>
      </c>
      <c r="W108">
        <v>-19.73</v>
      </c>
      <c r="X108" t="s">
        <v>186</v>
      </c>
      <c r="Y108" t="s">
        <v>186</v>
      </c>
      <c r="Z108" t="s">
        <v>186</v>
      </c>
      <c r="AA108" t="str">
        <f t="shared" si="1"/>
        <v>HC_HIGH_PROFILE_VENUEOBVIOUS_UNIVERSE</v>
      </c>
      <c r="AC108" t="s">
        <v>358</v>
      </c>
    </row>
    <row r="109" spans="1:29" x14ac:dyDescent="0.2">
      <c r="A109" s="1">
        <v>46154</v>
      </c>
      <c r="B109" t="s">
        <v>131</v>
      </c>
      <c r="C109" t="s">
        <v>66</v>
      </c>
      <c r="D109" t="s">
        <v>39</v>
      </c>
      <c r="E109">
        <v>6</v>
      </c>
      <c r="F109">
        <v>8</v>
      </c>
      <c r="G109" t="s">
        <v>296</v>
      </c>
      <c r="H109" t="s">
        <v>300</v>
      </c>
      <c r="I109" t="s">
        <v>301</v>
      </c>
      <c r="K109" t="s">
        <v>134</v>
      </c>
      <c r="L109" t="s">
        <v>102</v>
      </c>
      <c r="M109" t="s">
        <v>35</v>
      </c>
      <c r="N109" t="b">
        <v>1</v>
      </c>
      <c r="O109">
        <v>18.670000000000002</v>
      </c>
      <c r="P109" t="s">
        <v>186</v>
      </c>
      <c r="Q109" t="s">
        <v>186</v>
      </c>
      <c r="R109" t="s">
        <v>186</v>
      </c>
      <c r="S109">
        <v>8.59</v>
      </c>
      <c r="T109" t="s">
        <v>186</v>
      </c>
      <c r="U109" t="s">
        <v>186</v>
      </c>
      <c r="V109" t="s">
        <v>186</v>
      </c>
      <c r="W109">
        <v>10.08</v>
      </c>
      <c r="X109" t="s">
        <v>186</v>
      </c>
      <c r="Y109" t="s">
        <v>186</v>
      </c>
      <c r="Z109" t="s">
        <v>186</v>
      </c>
      <c r="AA109" t="str">
        <f t="shared" si="1"/>
        <v>THESIS_REVERSALRETAIL_PROXY</v>
      </c>
    </row>
    <row r="110" spans="1:29" x14ac:dyDescent="0.2">
      <c r="A110" s="1">
        <v>46154</v>
      </c>
      <c r="B110" t="s">
        <v>276</v>
      </c>
      <c r="C110" t="s">
        <v>100</v>
      </c>
      <c r="D110" t="s">
        <v>28</v>
      </c>
      <c r="E110">
        <v>2</v>
      </c>
      <c r="F110">
        <v>3</v>
      </c>
      <c r="G110" t="s">
        <v>296</v>
      </c>
      <c r="H110" t="s">
        <v>302</v>
      </c>
      <c r="I110" t="s">
        <v>303</v>
      </c>
      <c r="J110" t="s">
        <v>304</v>
      </c>
      <c r="K110" t="s">
        <v>53</v>
      </c>
      <c r="L110" t="s">
        <v>54</v>
      </c>
      <c r="M110" t="s">
        <v>35</v>
      </c>
      <c r="N110" t="b">
        <v>0</v>
      </c>
      <c r="O110">
        <v>8.59</v>
      </c>
      <c r="P110" t="s">
        <v>186</v>
      </c>
      <c r="Q110" t="s">
        <v>186</v>
      </c>
      <c r="R110" t="s">
        <v>186</v>
      </c>
      <c r="S110">
        <v>8.59</v>
      </c>
      <c r="T110" t="s">
        <v>186</v>
      </c>
      <c r="U110" t="s">
        <v>186</v>
      </c>
      <c r="V110" t="s">
        <v>186</v>
      </c>
      <c r="W110">
        <v>0</v>
      </c>
      <c r="X110" t="s">
        <v>186</v>
      </c>
      <c r="Y110" t="s">
        <v>186</v>
      </c>
      <c r="Z110" t="s">
        <v>186</v>
      </c>
      <c r="AA110" t="str">
        <f t="shared" si="1"/>
        <v>FIRST_HC_NOT_FIRST_MENTIONOBVIOUS_UNIVERSE</v>
      </c>
    </row>
    <row r="111" spans="1:29" x14ac:dyDescent="0.2">
      <c r="A111" s="1">
        <v>46154</v>
      </c>
      <c r="B111" t="s">
        <v>276</v>
      </c>
      <c r="C111" t="s">
        <v>76</v>
      </c>
      <c r="D111" t="s">
        <v>28</v>
      </c>
      <c r="E111">
        <v>2</v>
      </c>
      <c r="F111">
        <v>3</v>
      </c>
      <c r="G111" t="s">
        <v>296</v>
      </c>
      <c r="H111" t="s">
        <v>302</v>
      </c>
      <c r="I111" t="s">
        <v>303</v>
      </c>
      <c r="J111" t="s">
        <v>304</v>
      </c>
      <c r="K111" t="s">
        <v>53</v>
      </c>
      <c r="L111" t="s">
        <v>54</v>
      </c>
      <c r="M111" t="s">
        <v>35</v>
      </c>
      <c r="N111" t="b">
        <v>0</v>
      </c>
      <c r="O111">
        <v>8.59</v>
      </c>
      <c r="P111" t="s">
        <v>186</v>
      </c>
      <c r="Q111" t="s">
        <v>186</v>
      </c>
      <c r="R111" t="s">
        <v>186</v>
      </c>
      <c r="S111">
        <v>8.59</v>
      </c>
      <c r="T111" t="s">
        <v>186</v>
      </c>
      <c r="U111" t="s">
        <v>186</v>
      </c>
      <c r="V111" t="s">
        <v>186</v>
      </c>
      <c r="W111">
        <v>0</v>
      </c>
      <c r="X111" t="s">
        <v>186</v>
      </c>
      <c r="Y111" t="s">
        <v>186</v>
      </c>
      <c r="Z111" t="s">
        <v>186</v>
      </c>
      <c r="AA111" t="str">
        <f t="shared" si="1"/>
        <v>HC_HIGH_PROFILE_VENUEOBVIOUS_UNIVERSE</v>
      </c>
    </row>
    <row r="112" spans="1:29" x14ac:dyDescent="0.2">
      <c r="A112" s="1">
        <v>46154</v>
      </c>
      <c r="B112" t="s">
        <v>280</v>
      </c>
      <c r="C112" t="s">
        <v>76</v>
      </c>
      <c r="D112" t="s">
        <v>28</v>
      </c>
      <c r="E112">
        <v>2</v>
      </c>
      <c r="F112">
        <v>3</v>
      </c>
      <c r="G112" t="s">
        <v>291</v>
      </c>
      <c r="H112" t="s">
        <v>305</v>
      </c>
      <c r="I112" t="s">
        <v>306</v>
      </c>
      <c r="J112" t="s">
        <v>284</v>
      </c>
      <c r="K112" t="s">
        <v>284</v>
      </c>
      <c r="L112" t="s">
        <v>49</v>
      </c>
      <c r="M112" t="s">
        <v>35</v>
      </c>
      <c r="N112" t="b">
        <v>0</v>
      </c>
      <c r="O112">
        <v>-9.15</v>
      </c>
      <c r="P112" t="s">
        <v>186</v>
      </c>
      <c r="Q112" t="s">
        <v>186</v>
      </c>
      <c r="R112" t="s">
        <v>186</v>
      </c>
      <c r="S112">
        <v>8.59</v>
      </c>
      <c r="T112" t="s">
        <v>186</v>
      </c>
      <c r="U112" t="s">
        <v>186</v>
      </c>
      <c r="V112" t="s">
        <v>186</v>
      </c>
      <c r="W112">
        <v>-17.73</v>
      </c>
      <c r="X112" t="s">
        <v>186</v>
      </c>
      <c r="Y112" t="s">
        <v>186</v>
      </c>
      <c r="Z112" t="s">
        <v>186</v>
      </c>
      <c r="AA112" t="str">
        <f t="shared" si="1"/>
        <v>HC_HIGH_PROFILE_VENUEBAKER_NAMED</v>
      </c>
    </row>
    <row r="113" spans="1:29" x14ac:dyDescent="0.2">
      <c r="A113" s="1">
        <v>46154</v>
      </c>
      <c r="B113" t="s">
        <v>307</v>
      </c>
      <c r="C113" t="s">
        <v>27</v>
      </c>
      <c r="D113" t="s">
        <v>28</v>
      </c>
      <c r="E113">
        <v>1</v>
      </c>
      <c r="F113">
        <v>2</v>
      </c>
      <c r="G113" t="s">
        <v>296</v>
      </c>
      <c r="H113" t="s">
        <v>308</v>
      </c>
      <c r="I113" t="s">
        <v>309</v>
      </c>
      <c r="L113" t="s">
        <v>43</v>
      </c>
      <c r="M113" t="s">
        <v>35</v>
      </c>
      <c r="N113" t="b">
        <v>0</v>
      </c>
      <c r="O113" t="s">
        <v>43</v>
      </c>
      <c r="P113" t="s">
        <v>186</v>
      </c>
      <c r="Q113" t="s">
        <v>186</v>
      </c>
      <c r="R113" t="s">
        <v>186</v>
      </c>
      <c r="S113">
        <v>8.59</v>
      </c>
      <c r="T113" t="s">
        <v>186</v>
      </c>
      <c r="U113" t="s">
        <v>186</v>
      </c>
      <c r="V113" t="s">
        <v>186</v>
      </c>
      <c r="W113" t="s">
        <v>43</v>
      </c>
      <c r="X113" t="s">
        <v>186</v>
      </c>
      <c r="Y113" t="s">
        <v>186</v>
      </c>
      <c r="Z113" t="s">
        <v>186</v>
      </c>
      <c r="AA113" t="str">
        <f t="shared" si="1"/>
        <v>FIRST_MENTION_AND_HCNO_BASKET</v>
      </c>
    </row>
    <row r="114" spans="1:29" x14ac:dyDescent="0.2">
      <c r="A114" s="1">
        <v>46154</v>
      </c>
      <c r="B114" t="s">
        <v>307</v>
      </c>
      <c r="C114" t="s">
        <v>76</v>
      </c>
      <c r="D114" t="s">
        <v>28</v>
      </c>
      <c r="E114">
        <v>1</v>
      </c>
      <c r="F114">
        <v>2</v>
      </c>
      <c r="G114" t="s">
        <v>296</v>
      </c>
      <c r="H114" t="s">
        <v>308</v>
      </c>
      <c r="I114" t="s">
        <v>309</v>
      </c>
      <c r="L114" t="s">
        <v>43</v>
      </c>
      <c r="M114" t="s">
        <v>35</v>
      </c>
      <c r="N114" t="b">
        <v>0</v>
      </c>
      <c r="O114" t="s">
        <v>43</v>
      </c>
      <c r="P114" t="s">
        <v>186</v>
      </c>
      <c r="Q114" t="s">
        <v>186</v>
      </c>
      <c r="R114" t="s">
        <v>186</v>
      </c>
      <c r="S114">
        <v>8.59</v>
      </c>
      <c r="T114" t="s">
        <v>186</v>
      </c>
      <c r="U114" t="s">
        <v>186</v>
      </c>
      <c r="V114" t="s">
        <v>186</v>
      </c>
      <c r="W114" t="s">
        <v>43</v>
      </c>
      <c r="X114" t="s">
        <v>186</v>
      </c>
      <c r="Y114" t="s">
        <v>186</v>
      </c>
      <c r="Z114" t="s">
        <v>186</v>
      </c>
      <c r="AA114" t="str">
        <f t="shared" si="1"/>
        <v>HC_HIGH_PROFILE_VENUENO_BASKET</v>
      </c>
    </row>
    <row r="115" spans="1:29" x14ac:dyDescent="0.2">
      <c r="A115" s="1">
        <v>46162</v>
      </c>
      <c r="B115" t="s">
        <v>310</v>
      </c>
      <c r="C115" t="s">
        <v>27</v>
      </c>
      <c r="D115" t="s">
        <v>28</v>
      </c>
      <c r="E115">
        <v>1</v>
      </c>
      <c r="F115">
        <v>1</v>
      </c>
      <c r="G115" t="s">
        <v>311</v>
      </c>
      <c r="H115" t="s">
        <v>312</v>
      </c>
      <c r="I115" t="s">
        <v>313</v>
      </c>
      <c r="K115" t="s">
        <v>53</v>
      </c>
      <c r="L115" t="s">
        <v>54</v>
      </c>
      <c r="M115" t="s">
        <v>35</v>
      </c>
      <c r="N115" t="b">
        <v>0</v>
      </c>
      <c r="O115">
        <v>18.46</v>
      </c>
      <c r="P115" t="s">
        <v>186</v>
      </c>
      <c r="Q115" t="s">
        <v>186</v>
      </c>
      <c r="R115" t="s">
        <v>186</v>
      </c>
      <c r="S115">
        <v>18.46</v>
      </c>
      <c r="T115" t="s">
        <v>186</v>
      </c>
      <c r="U115" t="s">
        <v>186</v>
      </c>
      <c r="V115" t="s">
        <v>186</v>
      </c>
      <c r="W115">
        <v>0</v>
      </c>
      <c r="X115" t="s">
        <v>186</v>
      </c>
      <c r="Y115" t="s">
        <v>186</v>
      </c>
      <c r="Z115" t="s">
        <v>186</v>
      </c>
      <c r="AA115" t="str">
        <f t="shared" si="1"/>
        <v>FIRST_MENTION_AND_HCOBVIOUS_UNIVERSE</v>
      </c>
      <c r="AC115" t="s">
        <v>357</v>
      </c>
    </row>
    <row r="116" spans="1:29" x14ac:dyDescent="0.2">
      <c r="A116" s="1">
        <v>46162</v>
      </c>
      <c r="B116" t="s">
        <v>314</v>
      </c>
      <c r="C116" t="s">
        <v>27</v>
      </c>
      <c r="D116" t="s">
        <v>28</v>
      </c>
      <c r="E116">
        <v>1</v>
      </c>
      <c r="F116">
        <v>1</v>
      </c>
      <c r="G116" t="s">
        <v>311</v>
      </c>
      <c r="H116" t="s">
        <v>315</v>
      </c>
      <c r="I116" t="s">
        <v>316</v>
      </c>
      <c r="J116" t="s">
        <v>317</v>
      </c>
      <c r="K116" t="s">
        <v>317</v>
      </c>
      <c r="L116" t="s">
        <v>49</v>
      </c>
      <c r="M116" t="s">
        <v>35</v>
      </c>
      <c r="N116" t="b">
        <v>0</v>
      </c>
      <c r="O116">
        <v>52.94</v>
      </c>
      <c r="P116" t="s">
        <v>186</v>
      </c>
      <c r="Q116" t="s">
        <v>186</v>
      </c>
      <c r="R116" t="s">
        <v>186</v>
      </c>
      <c r="S116">
        <v>18.46</v>
      </c>
      <c r="T116" t="s">
        <v>186</v>
      </c>
      <c r="U116" t="s">
        <v>186</v>
      </c>
      <c r="V116" t="s">
        <v>186</v>
      </c>
      <c r="W116">
        <v>34.47</v>
      </c>
      <c r="X116" t="s">
        <v>186</v>
      </c>
      <c r="Y116" t="s">
        <v>186</v>
      </c>
      <c r="Z116" t="s">
        <v>186</v>
      </c>
      <c r="AA116" t="str">
        <f t="shared" si="1"/>
        <v>FIRST_MENTION_AND_HCBAKER_NAMED</v>
      </c>
    </row>
    <row r="117" spans="1:29" x14ac:dyDescent="0.2">
      <c r="A117" s="1">
        <v>46162</v>
      </c>
      <c r="B117" t="s">
        <v>314</v>
      </c>
      <c r="C117" t="s">
        <v>36</v>
      </c>
      <c r="D117" t="s">
        <v>28</v>
      </c>
      <c r="E117">
        <v>1</v>
      </c>
      <c r="F117">
        <v>1</v>
      </c>
      <c r="G117" t="s">
        <v>311</v>
      </c>
      <c r="H117" t="s">
        <v>315</v>
      </c>
      <c r="I117" t="s">
        <v>316</v>
      </c>
      <c r="J117" t="s">
        <v>317</v>
      </c>
      <c r="K117" t="s">
        <v>317</v>
      </c>
      <c r="L117" t="s">
        <v>49</v>
      </c>
      <c r="M117" t="s">
        <v>35</v>
      </c>
      <c r="N117" t="b">
        <v>0</v>
      </c>
      <c r="O117">
        <v>52.94</v>
      </c>
      <c r="P117" t="s">
        <v>186</v>
      </c>
      <c r="Q117" t="s">
        <v>186</v>
      </c>
      <c r="R117" t="s">
        <v>186</v>
      </c>
      <c r="S117">
        <v>18.46</v>
      </c>
      <c r="T117" t="s">
        <v>186</v>
      </c>
      <c r="U117" t="s">
        <v>186</v>
      </c>
      <c r="V117" t="s">
        <v>186</v>
      </c>
      <c r="W117">
        <v>34.47</v>
      </c>
      <c r="X117" t="s">
        <v>186</v>
      </c>
      <c r="Y117" t="s">
        <v>186</v>
      </c>
      <c r="Z117" t="s">
        <v>186</v>
      </c>
      <c r="AA117" t="str">
        <f t="shared" si="1"/>
        <v>FIRST_MENTION_WITH_TICKERSBAKER_NAMED</v>
      </c>
    </row>
    <row r="118" spans="1:29" x14ac:dyDescent="0.2">
      <c r="A118" s="1">
        <v>46162</v>
      </c>
      <c r="B118" t="s">
        <v>175</v>
      </c>
      <c r="C118" t="s">
        <v>66</v>
      </c>
      <c r="D118" t="s">
        <v>28</v>
      </c>
      <c r="E118">
        <v>4</v>
      </c>
      <c r="F118">
        <v>4</v>
      </c>
      <c r="G118" t="s">
        <v>311</v>
      </c>
      <c r="H118" t="s">
        <v>318</v>
      </c>
      <c r="I118" t="s">
        <v>319</v>
      </c>
      <c r="J118" t="s">
        <v>320</v>
      </c>
      <c r="K118" t="s">
        <v>155</v>
      </c>
      <c r="L118" t="s">
        <v>49</v>
      </c>
      <c r="M118" t="s">
        <v>35</v>
      </c>
      <c r="N118" t="b">
        <v>0</v>
      </c>
      <c r="O118">
        <v>-10.029999999999999</v>
      </c>
      <c r="P118" t="s">
        <v>186</v>
      </c>
      <c r="Q118" t="s">
        <v>186</v>
      </c>
      <c r="R118" t="s">
        <v>186</v>
      </c>
      <c r="S118">
        <v>18.46</v>
      </c>
      <c r="T118" t="s">
        <v>186</v>
      </c>
      <c r="U118" t="s">
        <v>186</v>
      </c>
      <c r="V118" t="s">
        <v>186</v>
      </c>
      <c r="W118">
        <v>-28.5</v>
      </c>
      <c r="X118" t="s">
        <v>186</v>
      </c>
      <c r="Y118" t="s">
        <v>186</v>
      </c>
      <c r="Z118" t="s">
        <v>186</v>
      </c>
      <c r="AA118" t="str">
        <f t="shared" si="1"/>
        <v>THESIS_REVERSALBAKER_NAMED</v>
      </c>
      <c r="AB118" t="s">
        <v>350</v>
      </c>
      <c r="AC118" t="s">
        <v>348</v>
      </c>
    </row>
    <row r="119" spans="1:29" x14ac:dyDescent="0.2">
      <c r="A119" s="1">
        <v>46162</v>
      </c>
      <c r="B119" t="s">
        <v>219</v>
      </c>
      <c r="C119" t="s">
        <v>36</v>
      </c>
      <c r="D119" t="s">
        <v>39</v>
      </c>
      <c r="E119">
        <v>2</v>
      </c>
      <c r="F119">
        <v>2</v>
      </c>
      <c r="G119" t="s">
        <v>311</v>
      </c>
      <c r="H119" t="s">
        <v>321</v>
      </c>
      <c r="I119" t="s">
        <v>322</v>
      </c>
      <c r="J119" t="s">
        <v>222</v>
      </c>
      <c r="K119" t="s">
        <v>222</v>
      </c>
      <c r="L119" t="s">
        <v>49</v>
      </c>
      <c r="M119" t="s">
        <v>65</v>
      </c>
      <c r="N119" t="b">
        <v>0</v>
      </c>
      <c r="O119">
        <v>12.57</v>
      </c>
      <c r="P119" t="s">
        <v>186</v>
      </c>
      <c r="Q119" t="s">
        <v>186</v>
      </c>
      <c r="R119" t="s">
        <v>186</v>
      </c>
      <c r="S119">
        <v>18.46</v>
      </c>
      <c r="T119" t="s">
        <v>186</v>
      </c>
      <c r="U119" t="s">
        <v>186</v>
      </c>
      <c r="V119" t="s">
        <v>186</v>
      </c>
      <c r="W119">
        <v>-5.89</v>
      </c>
      <c r="X119" t="s">
        <v>186</v>
      </c>
      <c r="Y119" t="s">
        <v>186</v>
      </c>
      <c r="Z119" t="s">
        <v>186</v>
      </c>
      <c r="AA119" t="str">
        <f t="shared" si="1"/>
        <v>FIRST_MENTION_WITH_TICKERSBAKER_NAMED</v>
      </c>
      <c r="AC119" t="s">
        <v>348</v>
      </c>
    </row>
    <row r="120" spans="1:29" x14ac:dyDescent="0.2">
      <c r="A120" s="1">
        <v>46162</v>
      </c>
      <c r="B120" t="s">
        <v>131</v>
      </c>
      <c r="C120" t="s">
        <v>66</v>
      </c>
      <c r="D120" t="s">
        <v>39</v>
      </c>
      <c r="E120">
        <v>7</v>
      </c>
      <c r="F120">
        <v>8</v>
      </c>
      <c r="G120" t="s">
        <v>311</v>
      </c>
      <c r="H120" t="s">
        <v>323</v>
      </c>
      <c r="I120" t="s">
        <v>324</v>
      </c>
      <c r="J120" t="s">
        <v>325</v>
      </c>
      <c r="K120" t="s">
        <v>134</v>
      </c>
      <c r="L120" t="s">
        <v>102</v>
      </c>
      <c r="M120" t="s">
        <v>35</v>
      </c>
      <c r="N120" t="b">
        <v>1</v>
      </c>
      <c r="O120">
        <v>-22.54</v>
      </c>
      <c r="P120" t="s">
        <v>186</v>
      </c>
      <c r="Q120" t="s">
        <v>186</v>
      </c>
      <c r="R120" t="s">
        <v>186</v>
      </c>
      <c r="S120">
        <v>18.46</v>
      </c>
      <c r="T120" t="s">
        <v>186</v>
      </c>
      <c r="U120" t="s">
        <v>186</v>
      </c>
      <c r="V120" t="s">
        <v>186</v>
      </c>
      <c r="W120">
        <v>-41</v>
      </c>
      <c r="X120" t="s">
        <v>186</v>
      </c>
      <c r="Y120" t="s">
        <v>186</v>
      </c>
      <c r="Z120" t="s">
        <v>186</v>
      </c>
      <c r="AA120" t="str">
        <f t="shared" si="1"/>
        <v>THESIS_REVERSALRETAIL_PROXY</v>
      </c>
    </row>
    <row r="121" spans="1:29" x14ac:dyDescent="0.2">
      <c r="A121" s="1">
        <v>46162</v>
      </c>
      <c r="B121" t="s">
        <v>276</v>
      </c>
      <c r="C121" t="s">
        <v>187</v>
      </c>
      <c r="D121" t="s">
        <v>28</v>
      </c>
      <c r="E121">
        <v>3</v>
      </c>
      <c r="F121">
        <v>3</v>
      </c>
      <c r="G121" t="s">
        <v>311</v>
      </c>
      <c r="H121" t="s">
        <v>326</v>
      </c>
      <c r="I121" t="s">
        <v>327</v>
      </c>
      <c r="J121" t="s">
        <v>304</v>
      </c>
      <c r="K121" t="s">
        <v>53</v>
      </c>
      <c r="L121" t="s">
        <v>54</v>
      </c>
      <c r="M121" t="s">
        <v>35</v>
      </c>
      <c r="N121" t="b">
        <v>0</v>
      </c>
      <c r="O121">
        <v>18.46</v>
      </c>
      <c r="P121" t="s">
        <v>186</v>
      </c>
      <c r="Q121" t="s">
        <v>186</v>
      </c>
      <c r="R121" t="s">
        <v>186</v>
      </c>
      <c r="S121">
        <v>18.46</v>
      </c>
      <c r="T121" t="s">
        <v>186</v>
      </c>
      <c r="U121" t="s">
        <v>186</v>
      </c>
      <c r="V121" t="s">
        <v>186</v>
      </c>
      <c r="W121">
        <v>0</v>
      </c>
      <c r="X121" t="s">
        <v>186</v>
      </c>
      <c r="Y121" t="s">
        <v>186</v>
      </c>
      <c r="Z121" t="s">
        <v>186</v>
      </c>
      <c r="AA121" t="str">
        <f t="shared" si="1"/>
        <v>THIRD_MENTION_WITHIN_1YROBVIOUS_UNIVERSE</v>
      </c>
    </row>
    <row r="122" spans="1:29" x14ac:dyDescent="0.2">
      <c r="A122" s="1">
        <v>46162</v>
      </c>
      <c r="B122" t="s">
        <v>280</v>
      </c>
      <c r="C122" t="s">
        <v>187</v>
      </c>
      <c r="D122" t="s">
        <v>28</v>
      </c>
      <c r="E122">
        <v>3</v>
      </c>
      <c r="F122">
        <v>3</v>
      </c>
      <c r="G122" t="s">
        <v>311</v>
      </c>
      <c r="H122" t="s">
        <v>328</v>
      </c>
      <c r="I122" t="s">
        <v>329</v>
      </c>
      <c r="J122" t="s">
        <v>284</v>
      </c>
      <c r="K122" t="s">
        <v>284</v>
      </c>
      <c r="L122" t="s">
        <v>49</v>
      </c>
      <c r="M122" t="s">
        <v>35</v>
      </c>
      <c r="N122" t="b">
        <v>0</v>
      </c>
      <c r="O122">
        <v>-12.16</v>
      </c>
      <c r="P122" t="s">
        <v>186</v>
      </c>
      <c r="Q122" t="s">
        <v>186</v>
      </c>
      <c r="R122" t="s">
        <v>186</v>
      </c>
      <c r="S122">
        <v>18.46</v>
      </c>
      <c r="T122" t="s">
        <v>186</v>
      </c>
      <c r="U122" t="s">
        <v>186</v>
      </c>
      <c r="V122" t="s">
        <v>186</v>
      </c>
      <c r="W122">
        <v>-30.62</v>
      </c>
      <c r="X122" t="s">
        <v>186</v>
      </c>
      <c r="Y122" t="s">
        <v>186</v>
      </c>
      <c r="Z122" t="s">
        <v>186</v>
      </c>
      <c r="AA122" t="str">
        <f t="shared" si="1"/>
        <v>THIRD_MENTION_WITHIN_1YRBAKER_NAMED</v>
      </c>
    </row>
    <row r="123" spans="1:29" x14ac:dyDescent="0.2">
      <c r="A123" s="1">
        <v>46162</v>
      </c>
      <c r="B123" t="s">
        <v>280</v>
      </c>
      <c r="C123" t="s">
        <v>187</v>
      </c>
      <c r="D123" t="s">
        <v>28</v>
      </c>
      <c r="E123">
        <v>3</v>
      </c>
      <c r="F123">
        <v>3</v>
      </c>
      <c r="G123" t="s">
        <v>311</v>
      </c>
      <c r="H123" t="s">
        <v>328</v>
      </c>
      <c r="I123" t="s">
        <v>329</v>
      </c>
      <c r="J123" t="s">
        <v>284</v>
      </c>
      <c r="K123" t="s">
        <v>284</v>
      </c>
      <c r="L123" t="s">
        <v>49</v>
      </c>
      <c r="M123" t="s">
        <v>35</v>
      </c>
      <c r="N123" t="b">
        <v>0</v>
      </c>
      <c r="O123">
        <v>-12.16</v>
      </c>
      <c r="P123" t="s">
        <v>186</v>
      </c>
      <c r="Q123" t="s">
        <v>186</v>
      </c>
      <c r="R123" t="s">
        <v>186</v>
      </c>
      <c r="S123">
        <v>18.46</v>
      </c>
      <c r="T123" t="s">
        <v>186</v>
      </c>
      <c r="U123" t="s">
        <v>186</v>
      </c>
      <c r="V123" t="s">
        <v>186</v>
      </c>
      <c r="W123">
        <v>-30.62</v>
      </c>
      <c r="X123" t="s">
        <v>186</v>
      </c>
      <c r="Y123" t="s">
        <v>186</v>
      </c>
      <c r="Z123" t="s">
        <v>186</v>
      </c>
      <c r="AA123" t="str">
        <f t="shared" ref="AA123" si="2">C123&amp;L123</f>
        <v>THIRD_MENTION_WITHIN_1YRBAKER_NAMED</v>
      </c>
    </row>
    <row r="124" spans="1:29" x14ac:dyDescent="0.2">
      <c r="A124" s="1">
        <v>46184</v>
      </c>
      <c r="B124" t="s">
        <v>209</v>
      </c>
      <c r="C124" t="s">
        <v>36</v>
      </c>
      <c r="D124" t="s">
        <v>28</v>
      </c>
      <c r="E124">
        <v>3</v>
      </c>
      <c r="F124">
        <v>3</v>
      </c>
      <c r="G124" t="s">
        <v>330</v>
      </c>
      <c r="H124" t="s">
        <v>331</v>
      </c>
      <c r="I124" t="s">
        <v>332</v>
      </c>
      <c r="J124" t="s">
        <v>333</v>
      </c>
      <c r="L124" t="s">
        <v>43</v>
      </c>
      <c r="M124" t="s">
        <v>35</v>
      </c>
      <c r="N124" t="b">
        <v>0</v>
      </c>
      <c r="O124" t="s">
        <v>186</v>
      </c>
      <c r="P124" t="s">
        <v>186</v>
      </c>
      <c r="Q124" t="s">
        <v>186</v>
      </c>
      <c r="R124" t="s">
        <v>186</v>
      </c>
      <c r="S124" t="s">
        <v>186</v>
      </c>
      <c r="T124" t="s">
        <v>186</v>
      </c>
      <c r="U124" t="s">
        <v>186</v>
      </c>
      <c r="V124" t="s">
        <v>186</v>
      </c>
      <c r="W124" t="s">
        <v>186</v>
      </c>
      <c r="X124" t="s">
        <v>186</v>
      </c>
      <c r="Y124" t="s">
        <v>186</v>
      </c>
      <c r="Z124" t="s">
        <v>186</v>
      </c>
      <c r="AA124" t="str">
        <f t="shared" si="1"/>
        <v>FIRST_MENTION_WITH_TICKERSNO_BASKET</v>
      </c>
    </row>
    <row r="125" spans="1:29" x14ac:dyDescent="0.2">
      <c r="A125" s="1">
        <v>46184</v>
      </c>
      <c r="B125" t="s">
        <v>334</v>
      </c>
      <c r="C125" t="s">
        <v>27</v>
      </c>
      <c r="D125" t="s">
        <v>28</v>
      </c>
      <c r="E125">
        <v>1</v>
      </c>
      <c r="F125">
        <v>1</v>
      </c>
      <c r="G125" t="s">
        <v>330</v>
      </c>
      <c r="H125" t="s">
        <v>335</v>
      </c>
      <c r="I125" t="s">
        <v>336</v>
      </c>
      <c r="K125" t="s">
        <v>70</v>
      </c>
      <c r="L125" t="s">
        <v>54</v>
      </c>
      <c r="M125" t="s">
        <v>35</v>
      </c>
      <c r="N125" t="b">
        <v>0</v>
      </c>
      <c r="O125" t="s">
        <v>186</v>
      </c>
      <c r="P125" t="s">
        <v>186</v>
      </c>
      <c r="Q125" t="s">
        <v>186</v>
      </c>
      <c r="R125" t="s">
        <v>186</v>
      </c>
      <c r="S125" t="s">
        <v>186</v>
      </c>
      <c r="T125" t="s">
        <v>186</v>
      </c>
      <c r="U125" t="s">
        <v>186</v>
      </c>
      <c r="V125" t="s">
        <v>186</v>
      </c>
      <c r="W125" t="s">
        <v>186</v>
      </c>
      <c r="X125" t="s">
        <v>186</v>
      </c>
      <c r="Y125" t="s">
        <v>186</v>
      </c>
      <c r="Z125" t="s">
        <v>186</v>
      </c>
      <c r="AA125" t="str">
        <f t="shared" si="1"/>
        <v>FIRST_MENTION_AND_HCOBVIOUS_UNIVERSE</v>
      </c>
      <c r="AC125" t="s">
        <v>359</v>
      </c>
    </row>
    <row r="126" spans="1:29" x14ac:dyDescent="0.2">
      <c r="A126" s="1">
        <v>46184</v>
      </c>
      <c r="B126" t="s">
        <v>82</v>
      </c>
      <c r="C126" t="s">
        <v>66</v>
      </c>
      <c r="D126" t="s">
        <v>39</v>
      </c>
      <c r="E126">
        <v>9</v>
      </c>
      <c r="F126">
        <v>9</v>
      </c>
      <c r="G126" t="s">
        <v>330</v>
      </c>
      <c r="H126" t="s">
        <v>337</v>
      </c>
      <c r="I126" t="s">
        <v>338</v>
      </c>
      <c r="K126" t="s">
        <v>134</v>
      </c>
      <c r="L126" t="s">
        <v>102</v>
      </c>
      <c r="M126" t="s">
        <v>35</v>
      </c>
      <c r="N126" t="b">
        <v>1</v>
      </c>
      <c r="O126" t="s">
        <v>186</v>
      </c>
      <c r="P126" t="s">
        <v>186</v>
      </c>
      <c r="Q126" t="s">
        <v>186</v>
      </c>
      <c r="R126" t="s">
        <v>186</v>
      </c>
      <c r="S126" t="s">
        <v>186</v>
      </c>
      <c r="T126" t="s">
        <v>186</v>
      </c>
      <c r="U126" t="s">
        <v>186</v>
      </c>
      <c r="V126" t="s">
        <v>186</v>
      </c>
      <c r="W126" t="s">
        <v>186</v>
      </c>
      <c r="X126" t="s">
        <v>186</v>
      </c>
      <c r="Y126" t="s">
        <v>186</v>
      </c>
      <c r="Z126" t="s">
        <v>186</v>
      </c>
      <c r="AA126" t="str">
        <f t="shared" si="1"/>
        <v>THESIS_REVERSALRETAIL_PROXY</v>
      </c>
    </row>
    <row r="130" spans="1:3" x14ac:dyDescent="0.2">
      <c r="A130" s="1"/>
      <c r="B130" s="1"/>
    </row>
    <row r="131" spans="1:3" x14ac:dyDescent="0.2">
      <c r="A131" s="1"/>
      <c r="B131" s="1"/>
    </row>
    <row r="132" spans="1:3" x14ac:dyDescent="0.2">
      <c r="A132" s="1"/>
      <c r="B132" s="1"/>
    </row>
    <row r="133" spans="1:3" x14ac:dyDescent="0.2">
      <c r="A133" s="1"/>
      <c r="B133" s="1"/>
    </row>
    <row r="134" spans="1:3" x14ac:dyDescent="0.2">
      <c r="A134" s="1"/>
      <c r="B134" s="1"/>
    </row>
    <row r="135" spans="1:3" x14ac:dyDescent="0.2">
      <c r="A135" s="1"/>
      <c r="B135" s="1"/>
    </row>
    <row r="136" spans="1:3" x14ac:dyDescent="0.2">
      <c r="A136" s="1"/>
      <c r="B136" s="1"/>
    </row>
    <row r="137" spans="1:3" x14ac:dyDescent="0.2">
      <c r="A137" s="1"/>
      <c r="B137" s="1"/>
    </row>
    <row r="138" spans="1:3" x14ac:dyDescent="0.2">
      <c r="A138" s="1"/>
      <c r="C138" s="1"/>
    </row>
    <row r="139" spans="1:3" x14ac:dyDescent="0.2">
      <c r="A139" s="1"/>
      <c r="B139" s="1"/>
    </row>
    <row r="140" spans="1:3" x14ac:dyDescent="0.2">
      <c r="A140" s="1"/>
      <c r="B140" s="1"/>
    </row>
    <row r="141" spans="1:3" x14ac:dyDescent="0.2">
      <c r="A141" s="1"/>
    </row>
    <row r="142" spans="1:3" x14ac:dyDescent="0.2">
      <c r="A142" s="1"/>
    </row>
    <row r="143" spans="1:3" x14ac:dyDescent="0.2">
      <c r="A143" s="1"/>
    </row>
    <row r="144" spans="1:3" x14ac:dyDescent="0.2">
      <c r="A144" s="1"/>
      <c r="B144" s="1"/>
    </row>
    <row r="145" spans="1:3" x14ac:dyDescent="0.2">
      <c r="A145" s="1"/>
      <c r="B145" s="1"/>
    </row>
    <row r="146" spans="1:3" x14ac:dyDescent="0.2">
      <c r="A146" s="1"/>
      <c r="B146" s="1"/>
    </row>
    <row r="147" spans="1:3" x14ac:dyDescent="0.2">
      <c r="A147" s="1"/>
      <c r="B147" s="1"/>
    </row>
    <row r="148" spans="1:3" x14ac:dyDescent="0.2">
      <c r="A148" s="1"/>
      <c r="B148" s="1"/>
    </row>
    <row r="149" spans="1:3" x14ac:dyDescent="0.2">
      <c r="A149" s="1"/>
      <c r="B149" s="1"/>
      <c r="C149" s="1"/>
    </row>
    <row r="150" spans="1:3" x14ac:dyDescent="0.2">
      <c r="A150" s="1"/>
      <c r="B150" s="1"/>
      <c r="C150" s="1"/>
    </row>
    <row r="151" spans="1:3" x14ac:dyDescent="0.2">
      <c r="A151" s="1"/>
      <c r="B151" s="1"/>
    </row>
    <row r="152" spans="1:3" x14ac:dyDescent="0.2">
      <c r="A152" s="1"/>
      <c r="B152" s="1"/>
    </row>
    <row r="153" spans="1:3" x14ac:dyDescent="0.2">
      <c r="A153" s="1"/>
      <c r="B153" s="1"/>
      <c r="C153" s="1"/>
    </row>
    <row r="154" spans="1:3" x14ac:dyDescent="0.2">
      <c r="A154" s="1"/>
      <c r="B154" s="1"/>
    </row>
    <row r="155" spans="1:3" x14ac:dyDescent="0.2">
      <c r="A155" s="1"/>
      <c r="B155" s="1"/>
    </row>
    <row r="156" spans="1:3" x14ac:dyDescent="0.2">
      <c r="A156" s="1"/>
      <c r="B156" s="1"/>
    </row>
    <row r="157" spans="1:3" x14ac:dyDescent="0.2">
      <c r="A157" s="1"/>
      <c r="B157" s="1"/>
    </row>
    <row r="158" spans="1:3" x14ac:dyDescent="0.2">
      <c r="A158" s="1"/>
      <c r="B158" s="1"/>
    </row>
    <row r="159" spans="1:3" x14ac:dyDescent="0.2">
      <c r="A159" s="1"/>
      <c r="B159" s="1"/>
    </row>
    <row r="160" spans="1:3" x14ac:dyDescent="0.2">
      <c r="A160" s="1"/>
      <c r="B160" s="1"/>
    </row>
    <row r="161" spans="1:2" x14ac:dyDescent="0.2">
      <c r="A161" s="1"/>
      <c r="B161" s="1"/>
    </row>
    <row r="162" spans="1:2" x14ac:dyDescent="0.2">
      <c r="A162" s="1"/>
      <c r="B162" s="1"/>
    </row>
    <row r="163" spans="1:2" x14ac:dyDescent="0.2">
      <c r="A163" s="1"/>
      <c r="B163" s="1"/>
    </row>
    <row r="164" spans="1:2" x14ac:dyDescent="0.2">
      <c r="A164" s="1"/>
      <c r="B164" s="1"/>
    </row>
    <row r="165" spans="1:2" x14ac:dyDescent="0.2">
      <c r="A165" s="1"/>
      <c r="B165" s="1"/>
    </row>
    <row r="166" spans="1:2" x14ac:dyDescent="0.2">
      <c r="A166" s="1"/>
      <c r="B166" s="1"/>
    </row>
    <row r="167" spans="1:2" x14ac:dyDescent="0.2">
      <c r="A167" s="1"/>
      <c r="B16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step4_signal_events_v5_final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Resman</dc:creator>
  <cp:lastModifiedBy>Steven Resman</cp:lastModifiedBy>
  <dcterms:created xsi:type="dcterms:W3CDTF">2026-07-02T15:47:14Z</dcterms:created>
  <dcterms:modified xsi:type="dcterms:W3CDTF">2026-07-03T19:30:45Z</dcterms:modified>
</cp:coreProperties>
</file>