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stevenresman/Projects/celeb-pm/analysis/"/>
    </mc:Choice>
  </mc:AlternateContent>
  <xr:revisionPtr revIDLastSave="0" documentId="8_{CD8484D5-CB86-F94F-9E25-344A8CEDC595}" xr6:coauthVersionLast="47" xr6:coauthVersionMax="47" xr10:uidLastSave="{00000000-0000-0000-0000-000000000000}"/>
  <bookViews>
    <workbookView xWindow="0" yWindow="500" windowWidth="64000" windowHeight="33740" activeTab="2" xr2:uid="{00000000-000D-0000-FFFF-FFFF00000000}"/>
  </bookViews>
  <sheets>
    <sheet name="Ramp" sheetId="1" r:id="rId1"/>
    <sheet name="NewSubtheme" sheetId="2" r:id="rId2"/>
    <sheet name="NewPosition" sheetId="3" r:id="rId3"/>
    <sheet name="Cross4pct" sheetId="4" r:id="rId4"/>
    <sheet name="Cross2pct" sheetId="5" r:id="rId5"/>
    <sheet name="RampBasket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Z2" i="4" l="1"/>
  <c r="DA2" i="4" s="1"/>
  <c r="DH2" i="4"/>
  <c r="DI2" i="4" s="1"/>
  <c r="CZ3" i="4"/>
  <c r="DA3" i="4"/>
  <c r="DB3" i="4" s="1"/>
  <c r="DC3" i="4" s="1"/>
  <c r="DD3" i="4" s="1"/>
  <c r="DE3" i="4" s="1"/>
  <c r="DF3" i="4" s="1"/>
  <c r="DG3" i="4" s="1"/>
  <c r="DH3" i="4"/>
  <c r="DI3" i="4" s="1"/>
  <c r="DJ3" i="4" s="1"/>
  <c r="DK3" i="4" s="1"/>
  <c r="DL3" i="4" s="1"/>
  <c r="DM3" i="4" s="1"/>
  <c r="DN3" i="4" s="1"/>
  <c r="DO3" i="4" s="1"/>
  <c r="CZ4" i="4"/>
  <c r="DA4" i="4"/>
  <c r="DB4" i="4"/>
  <c r="DC4" i="4" s="1"/>
  <c r="DD4" i="4" s="1"/>
  <c r="DE4" i="4" s="1"/>
  <c r="DF4" i="4" s="1"/>
  <c r="DG4" i="4" s="1"/>
  <c r="DH4" i="4"/>
  <c r="DI4" i="4" s="1"/>
  <c r="DJ4" i="4" s="1"/>
  <c r="DK4" i="4" s="1"/>
  <c r="DL4" i="4" s="1"/>
  <c r="DM4" i="4" s="1"/>
  <c r="DN4" i="4" s="1"/>
  <c r="DO4" i="4" s="1"/>
  <c r="CZ5" i="4"/>
  <c r="DA5" i="4" s="1"/>
  <c r="DB5" i="4" s="1"/>
  <c r="DC5" i="4" s="1"/>
  <c r="DD5" i="4" s="1"/>
  <c r="DE5" i="4" s="1"/>
  <c r="DF5" i="4" s="1"/>
  <c r="DG5" i="4" s="1"/>
  <c r="DH5" i="4"/>
  <c r="DI5" i="4"/>
  <c r="DJ5" i="4" s="1"/>
  <c r="DK5" i="4" s="1"/>
  <c r="DL5" i="4" s="1"/>
  <c r="DM5" i="4" s="1"/>
  <c r="DN5" i="4" s="1"/>
  <c r="DO5" i="4" s="1"/>
  <c r="CZ6" i="4"/>
  <c r="CO3" i="4" s="1"/>
  <c r="DH6" i="4"/>
  <c r="DI6" i="4"/>
  <c r="DJ6" i="4"/>
  <c r="DK6" i="4" s="1"/>
  <c r="DL6" i="4" s="1"/>
  <c r="DM6" i="4" s="1"/>
  <c r="DN6" i="4" s="1"/>
  <c r="DO6" i="4" s="1"/>
  <c r="CZ7" i="4"/>
  <c r="DA7" i="4" s="1"/>
  <c r="DB7" i="4" s="1"/>
  <c r="DC7" i="4" s="1"/>
  <c r="DD7" i="4" s="1"/>
  <c r="DE7" i="4" s="1"/>
  <c r="DF7" i="4" s="1"/>
  <c r="DG7" i="4" s="1"/>
  <c r="DH7" i="4"/>
  <c r="DI7" i="4" s="1"/>
  <c r="DJ7" i="4" s="1"/>
  <c r="DK7" i="4" s="1"/>
  <c r="DL7" i="4" s="1"/>
  <c r="DM7" i="4" s="1"/>
  <c r="DN7" i="4" s="1"/>
  <c r="DO7" i="4" s="1"/>
  <c r="CZ8" i="4"/>
  <c r="DA8" i="4"/>
  <c r="DB8" i="4" s="1"/>
  <c r="DC8" i="4" s="1"/>
  <c r="DD8" i="4" s="1"/>
  <c r="DE8" i="4" s="1"/>
  <c r="DF8" i="4" s="1"/>
  <c r="DG8" i="4" s="1"/>
  <c r="DH8" i="4"/>
  <c r="DI8" i="4" s="1"/>
  <c r="DJ8" i="4" s="1"/>
  <c r="DK8" i="4" s="1"/>
  <c r="DL8" i="4" s="1"/>
  <c r="DM8" i="4" s="1"/>
  <c r="DN8" i="4" s="1"/>
  <c r="DO8" i="4" s="1"/>
  <c r="CZ9" i="4"/>
  <c r="CW3" i="4" s="1"/>
  <c r="DA9" i="4"/>
  <c r="DB9" i="4"/>
  <c r="DH9" i="4"/>
  <c r="CX3" i="4" s="1"/>
  <c r="DI9" i="4"/>
  <c r="CZ10" i="4"/>
  <c r="DA10" i="4" s="1"/>
  <c r="DB10" i="4" s="1"/>
  <c r="DC10" i="4" s="1"/>
  <c r="DD10" i="4" s="1"/>
  <c r="DE10" i="4" s="1"/>
  <c r="DF10" i="4" s="1"/>
  <c r="DG10" i="4" s="1"/>
  <c r="DH10" i="4"/>
  <c r="DI10" i="4"/>
  <c r="DJ10" i="4" s="1"/>
  <c r="DK10" i="4" s="1"/>
  <c r="DL10" i="4" s="1"/>
  <c r="DM10" i="4" s="1"/>
  <c r="DN10" i="4" s="1"/>
  <c r="DO10" i="4" s="1"/>
  <c r="CZ11" i="4"/>
  <c r="DA11" i="4" s="1"/>
  <c r="DB11" i="4" s="1"/>
  <c r="DC11" i="4" s="1"/>
  <c r="DD11" i="4" s="1"/>
  <c r="DE11" i="4" s="1"/>
  <c r="DF11" i="4" s="1"/>
  <c r="DG11" i="4" s="1"/>
  <c r="DH11" i="4"/>
  <c r="DI11" i="4"/>
  <c r="DJ11" i="4"/>
  <c r="DK11" i="4" s="1"/>
  <c r="DL11" i="4" s="1"/>
  <c r="DM11" i="4" s="1"/>
  <c r="DN11" i="4" s="1"/>
  <c r="DO11" i="4" s="1"/>
  <c r="CZ12" i="4"/>
  <c r="DA12" i="4"/>
  <c r="DB12" i="4" s="1"/>
  <c r="DC12" i="4" s="1"/>
  <c r="DD12" i="4" s="1"/>
  <c r="DE12" i="4" s="1"/>
  <c r="DF12" i="4" s="1"/>
  <c r="DG12" i="4" s="1"/>
  <c r="DH12" i="4"/>
  <c r="DI12" i="4" s="1"/>
  <c r="DJ12" i="4" s="1"/>
  <c r="DK12" i="4" s="1"/>
  <c r="DL12" i="4" s="1"/>
  <c r="DM12" i="4" s="1"/>
  <c r="DN12" i="4" s="1"/>
  <c r="DO12" i="4" s="1"/>
  <c r="CZ13" i="4"/>
  <c r="DA13" i="4"/>
  <c r="DB13" i="4" s="1"/>
  <c r="DC13" i="4" s="1"/>
  <c r="DD13" i="4" s="1"/>
  <c r="DE13" i="4" s="1"/>
  <c r="DF13" i="4" s="1"/>
  <c r="DG13" i="4" s="1"/>
  <c r="DH13" i="4"/>
  <c r="DI13" i="4" s="1"/>
  <c r="DJ13" i="4" s="1"/>
  <c r="DK13" i="4" s="1"/>
  <c r="DL13" i="4" s="1"/>
  <c r="DM13" i="4" s="1"/>
  <c r="DN13" i="4" s="1"/>
  <c r="DO13" i="4" s="1"/>
  <c r="CZ14" i="4"/>
  <c r="DA14" i="4"/>
  <c r="DB14" i="4"/>
  <c r="DC14" i="4" s="1"/>
  <c r="DD14" i="4" s="1"/>
  <c r="DE14" i="4" s="1"/>
  <c r="DF14" i="4" s="1"/>
  <c r="DG14" i="4" s="1"/>
  <c r="DH14" i="4"/>
  <c r="DI14" i="4"/>
  <c r="DJ14" i="4" s="1"/>
  <c r="DK14" i="4" s="1"/>
  <c r="DL14" i="4" s="1"/>
  <c r="DM14" i="4" s="1"/>
  <c r="DN14" i="4" s="1"/>
  <c r="DO14" i="4" s="1"/>
  <c r="CZ15" i="4"/>
  <c r="DA15" i="4" s="1"/>
  <c r="DB15" i="4" s="1"/>
  <c r="DC15" i="4" s="1"/>
  <c r="DD15" i="4" s="1"/>
  <c r="DE15" i="4" s="1"/>
  <c r="DF15" i="4" s="1"/>
  <c r="DG15" i="4"/>
  <c r="DH15" i="4"/>
  <c r="DI15" i="4"/>
  <c r="DJ15" i="4" s="1"/>
  <c r="DK15" i="4" s="1"/>
  <c r="DL15" i="4" s="1"/>
  <c r="DM15" i="4" s="1"/>
  <c r="DN15" i="4" s="1"/>
  <c r="DO15" i="4"/>
  <c r="CZ16" i="4"/>
  <c r="DA16" i="4" s="1"/>
  <c r="DB16" i="4" s="1"/>
  <c r="DC16" i="4" s="1"/>
  <c r="DD16" i="4" s="1"/>
  <c r="DE16" i="4" s="1"/>
  <c r="DF16" i="4" s="1"/>
  <c r="DG16" i="4"/>
  <c r="DH16" i="4"/>
  <c r="DI16" i="4"/>
  <c r="DJ16" i="4"/>
  <c r="DK16" i="4" s="1"/>
  <c r="DL16" i="4" s="1"/>
  <c r="DM16" i="4" s="1"/>
  <c r="DN16" i="4" s="1"/>
  <c r="DO16" i="4"/>
  <c r="CZ17" i="4"/>
  <c r="DA17" i="4"/>
  <c r="DB17" i="4" s="1"/>
  <c r="DC17" i="4" s="1"/>
  <c r="DD17" i="4" s="1"/>
  <c r="DE17" i="4"/>
  <c r="DF17" i="4"/>
  <c r="DG17" i="4"/>
  <c r="DH17" i="4"/>
  <c r="DI17" i="4" s="1"/>
  <c r="DJ17" i="4" s="1"/>
  <c r="DK17" i="4" s="1"/>
  <c r="DL17" i="4" s="1"/>
  <c r="DM17" i="4"/>
  <c r="DN17" i="4"/>
  <c r="DO17" i="4"/>
  <c r="CZ18" i="4"/>
  <c r="DA18" i="4"/>
  <c r="DB18" i="4" s="1"/>
  <c r="DC18" i="4" s="1"/>
  <c r="DD18" i="4"/>
  <c r="DE18" i="4"/>
  <c r="DF18" i="4"/>
  <c r="DG18" i="4"/>
  <c r="DH18" i="4"/>
  <c r="DI18" i="4" s="1"/>
  <c r="DJ18" i="4" s="1"/>
  <c r="DK18" i="4" s="1"/>
  <c r="DL18" i="4"/>
  <c r="DM18" i="4"/>
  <c r="DN18" i="4"/>
  <c r="DO18" i="4"/>
  <c r="CZ19" i="4"/>
  <c r="DA19" i="4"/>
  <c r="DB19" i="4"/>
  <c r="DC19" i="4"/>
  <c r="DD19" i="4"/>
  <c r="DE19" i="4"/>
  <c r="DF19" i="4"/>
  <c r="DG19" i="4"/>
  <c r="DH19" i="4"/>
  <c r="DI19" i="4"/>
  <c r="DJ19" i="4" s="1"/>
  <c r="DK19" i="4"/>
  <c r="DL19" i="4"/>
  <c r="DM19" i="4"/>
  <c r="DN19" i="4"/>
  <c r="DO19" i="4"/>
  <c r="CZ20" i="4"/>
  <c r="DA20" i="4" s="1"/>
  <c r="DB20" i="4" s="1"/>
  <c r="DC20" i="4"/>
  <c r="DD20" i="4"/>
  <c r="DE20" i="4"/>
  <c r="DF20" i="4"/>
  <c r="DG20" i="4"/>
  <c r="DH20" i="4"/>
  <c r="DI20" i="4"/>
  <c r="DJ20" i="4" s="1"/>
  <c r="DK20" i="4"/>
  <c r="DL20" i="4"/>
  <c r="DM20" i="4"/>
  <c r="DN20" i="4"/>
  <c r="DO20" i="4"/>
  <c r="CZ21" i="4"/>
  <c r="DA21" i="4"/>
  <c r="DB21" i="4"/>
  <c r="DC21" i="4"/>
  <c r="DD21" i="4"/>
  <c r="DE21" i="4"/>
  <c r="DF21" i="4"/>
  <c r="DG21" i="4"/>
  <c r="DH21" i="4"/>
  <c r="DI21" i="4"/>
  <c r="DJ21" i="4"/>
  <c r="DK21" i="4"/>
  <c r="DL21" i="4"/>
  <c r="DM21" i="4"/>
  <c r="DN21" i="4"/>
  <c r="DO21" i="4"/>
  <c r="CZ22" i="4"/>
  <c r="DA22" i="4"/>
  <c r="DB22" i="4"/>
  <c r="DC22" i="4"/>
  <c r="DD22" i="4"/>
  <c r="DE22" i="4"/>
  <c r="DF22" i="4"/>
  <c r="DG22" i="4"/>
  <c r="DH22" i="4"/>
  <c r="DI22" i="4"/>
  <c r="DJ22" i="4"/>
  <c r="DK22" i="4"/>
  <c r="DL22" i="4"/>
  <c r="DM22" i="4"/>
  <c r="DN22" i="4"/>
  <c r="DO22" i="4"/>
  <c r="CZ23" i="4"/>
  <c r="DA23" i="4"/>
  <c r="DB23" i="4"/>
  <c r="DC23" i="4"/>
  <c r="DD23" i="4"/>
  <c r="DE23" i="4"/>
  <c r="DF23" i="4"/>
  <c r="DG23" i="4"/>
  <c r="DH23" i="4"/>
  <c r="DI23" i="4"/>
  <c r="DJ23" i="4"/>
  <c r="DK23" i="4"/>
  <c r="DL23" i="4"/>
  <c r="DM23" i="4"/>
  <c r="DN23" i="4"/>
  <c r="DO23" i="4"/>
  <c r="CS3" i="4"/>
  <c r="CT3" i="4"/>
  <c r="CS4" i="4"/>
  <c r="CT4" i="4"/>
  <c r="CS5" i="4"/>
  <c r="CT5" i="4"/>
  <c r="CS6" i="4"/>
  <c r="CT6" i="4"/>
  <c r="CS7" i="4"/>
  <c r="CT7" i="4"/>
  <c r="CS8" i="4"/>
  <c r="CT8" i="4"/>
  <c r="CS9" i="4"/>
  <c r="CT9" i="4"/>
  <c r="CS10" i="4"/>
  <c r="CT10" i="4"/>
  <c r="CS11" i="4"/>
  <c r="CT11" i="4"/>
  <c r="CS12" i="4"/>
  <c r="CT12" i="4"/>
  <c r="CS13" i="4"/>
  <c r="CT13" i="4"/>
  <c r="CS14" i="4"/>
  <c r="CT14" i="4"/>
  <c r="CK3" i="4"/>
  <c r="CL3" i="4"/>
  <c r="CK4" i="4"/>
  <c r="CL4" i="4"/>
  <c r="CK5" i="4"/>
  <c r="CL5" i="4"/>
  <c r="CK6" i="4"/>
  <c r="CL6" i="4"/>
  <c r="CK7" i="4"/>
  <c r="CL7" i="4"/>
  <c r="CK8" i="4"/>
  <c r="CL8" i="4"/>
  <c r="CK9" i="4"/>
  <c r="CL9" i="4"/>
  <c r="CK10" i="4"/>
  <c r="CL10" i="4"/>
  <c r="CK11" i="4"/>
  <c r="CL11" i="4"/>
  <c r="CK12" i="4"/>
  <c r="CL12" i="4"/>
  <c r="CK13" i="4"/>
  <c r="CL13" i="4"/>
  <c r="CK14" i="4"/>
  <c r="CL14" i="4"/>
  <c r="V35" i="3"/>
  <c r="U35" i="3"/>
  <c r="V34" i="3"/>
  <c r="U34" i="3"/>
  <c r="S35" i="3"/>
  <c r="R35" i="3"/>
  <c r="P35" i="3"/>
  <c r="O35" i="3"/>
  <c r="M35" i="3"/>
  <c r="L35" i="3"/>
  <c r="J35" i="3"/>
  <c r="I35" i="3"/>
  <c r="G35" i="3"/>
  <c r="F35" i="3"/>
  <c r="S34" i="3"/>
  <c r="R34" i="3"/>
  <c r="P34" i="3"/>
  <c r="O34" i="3"/>
  <c r="M34" i="3"/>
  <c r="L34" i="3"/>
  <c r="J34" i="3"/>
  <c r="I34" i="3"/>
  <c r="G34" i="3"/>
  <c r="F34" i="3"/>
  <c r="AO25" i="4"/>
  <c r="AN25" i="4"/>
  <c r="AL25" i="4"/>
  <c r="AK25" i="4"/>
  <c r="AI25" i="4"/>
  <c r="AH25" i="4"/>
  <c r="AF25" i="4"/>
  <c r="AE25" i="4"/>
  <c r="AC25" i="4"/>
  <c r="AB25" i="4"/>
  <c r="Z25" i="4"/>
  <c r="Y25" i="4"/>
  <c r="W25" i="4"/>
  <c r="V25" i="4"/>
  <c r="T25" i="4"/>
  <c r="S25" i="4"/>
  <c r="Q25" i="4"/>
  <c r="P25" i="4"/>
  <c r="CE2" i="6"/>
  <c r="CB3" i="6" s="1"/>
  <c r="CM2" i="6"/>
  <c r="CC3" i="6" s="1"/>
  <c r="CE3" i="6"/>
  <c r="CF3" i="6"/>
  <c r="CG3" i="6"/>
  <c r="CH3" i="6" s="1"/>
  <c r="CI3" i="6" s="1"/>
  <c r="CJ3" i="6" s="1"/>
  <c r="CK3" i="6" s="1"/>
  <c r="CL3" i="6" s="1"/>
  <c r="CM3" i="6"/>
  <c r="CN3" i="6"/>
  <c r="CO3" i="6" s="1"/>
  <c r="CP3" i="6" s="1"/>
  <c r="CQ3" i="6" s="1"/>
  <c r="CR3" i="6" s="1"/>
  <c r="CS3" i="6" s="1"/>
  <c r="CT3" i="6" s="1"/>
  <c r="CE4" i="6"/>
  <c r="CF4" i="6" s="1"/>
  <c r="CG4" i="6" s="1"/>
  <c r="CH4" i="6" s="1"/>
  <c r="CI4" i="6" s="1"/>
  <c r="CJ4" i="6" s="1"/>
  <c r="CK4" i="6" s="1"/>
  <c r="CL4" i="6" s="1"/>
  <c r="CM4" i="6"/>
  <c r="CN4" i="6" s="1"/>
  <c r="CO4" i="6" s="1"/>
  <c r="CP4" i="6" s="1"/>
  <c r="CQ4" i="6" s="1"/>
  <c r="CR4" i="6" s="1"/>
  <c r="CS4" i="6" s="1"/>
  <c r="CT4" i="6" s="1"/>
  <c r="CE5" i="6"/>
  <c r="CF5" i="6" s="1"/>
  <c r="CG5" i="6" s="1"/>
  <c r="CH5" i="6" s="1"/>
  <c r="CI5" i="6" s="1"/>
  <c r="CJ5" i="6" s="1"/>
  <c r="CK5" i="6" s="1"/>
  <c r="CL5" i="6" s="1"/>
  <c r="CM5" i="6"/>
  <c r="CN5" i="6"/>
  <c r="CO5" i="6"/>
  <c r="CP5" i="6" s="1"/>
  <c r="CQ5" i="6" s="1"/>
  <c r="CR5" i="6" s="1"/>
  <c r="CS5" i="6" s="1"/>
  <c r="CT5" i="6" s="1"/>
  <c r="CE6" i="6"/>
  <c r="CF6" i="6"/>
  <c r="CG6" i="6" s="1"/>
  <c r="CH6" i="6" s="1"/>
  <c r="CI6" i="6" s="1"/>
  <c r="CJ6" i="6" s="1"/>
  <c r="CK6" i="6" s="1"/>
  <c r="CL6" i="6" s="1"/>
  <c r="CM6" i="6"/>
  <c r="CN6" i="6" s="1"/>
  <c r="CO6" i="6" s="1"/>
  <c r="CP6" i="6" s="1"/>
  <c r="CQ6" i="6" s="1"/>
  <c r="CR6" i="6" s="1"/>
  <c r="CS6" i="6" s="1"/>
  <c r="CT6" i="6" s="1"/>
  <c r="CE7" i="6"/>
  <c r="CF7" i="6" s="1"/>
  <c r="CG7" i="6" s="1"/>
  <c r="CH7" i="6" s="1"/>
  <c r="CI7" i="6" s="1"/>
  <c r="CJ7" i="6" s="1"/>
  <c r="CK7" i="6" s="1"/>
  <c r="CL7" i="6" s="1"/>
  <c r="CM7" i="6"/>
  <c r="CN7" i="6" s="1"/>
  <c r="CO7" i="6" s="1"/>
  <c r="CP7" i="6" s="1"/>
  <c r="CQ7" i="6" s="1"/>
  <c r="CR7" i="6" s="1"/>
  <c r="CS7" i="6" s="1"/>
  <c r="CT7" i="6" s="1"/>
  <c r="CE8" i="6"/>
  <c r="CF8" i="6"/>
  <c r="CG8" i="6"/>
  <c r="CH8" i="6" s="1"/>
  <c r="CI8" i="6" s="1"/>
  <c r="CJ8" i="6" s="1"/>
  <c r="CK8" i="6" s="1"/>
  <c r="CL8" i="6" s="1"/>
  <c r="CM8" i="6"/>
  <c r="CN8" i="6"/>
  <c r="CO8" i="6" s="1"/>
  <c r="CP8" i="6" s="1"/>
  <c r="CQ8" i="6" s="1"/>
  <c r="CR8" i="6" s="1"/>
  <c r="CS8" i="6" s="1"/>
  <c r="CT8" i="6" s="1"/>
  <c r="CE9" i="6"/>
  <c r="CF9" i="6" s="1"/>
  <c r="CG9" i="6" s="1"/>
  <c r="CH9" i="6" s="1"/>
  <c r="CI9" i="6" s="1"/>
  <c r="CJ9" i="6" s="1"/>
  <c r="CK9" i="6" s="1"/>
  <c r="CL9" i="6"/>
  <c r="CM9" i="6"/>
  <c r="CN9" i="6" s="1"/>
  <c r="CO9" i="6" s="1"/>
  <c r="CP9" i="6" s="1"/>
  <c r="CQ9" i="6" s="1"/>
  <c r="CR9" i="6" s="1"/>
  <c r="CS9" i="6" s="1"/>
  <c r="CT9" i="6"/>
  <c r="CE10" i="6"/>
  <c r="CF10" i="6"/>
  <c r="CG10" i="6" s="1"/>
  <c r="CH10" i="6" s="1"/>
  <c r="CI10" i="6"/>
  <c r="CJ10" i="6"/>
  <c r="CK10" i="6"/>
  <c r="CL10" i="6"/>
  <c r="CM10" i="6"/>
  <c r="CN10" i="6"/>
  <c r="CO10" i="6"/>
  <c r="CP10" i="6"/>
  <c r="CQ10" i="6"/>
  <c r="CR10" i="6"/>
  <c r="CS10" i="6"/>
  <c r="CT10" i="6"/>
  <c r="CE11" i="6"/>
  <c r="CF11" i="6"/>
  <c r="CG11" i="6"/>
  <c r="CH11" i="6"/>
  <c r="CI11" i="6"/>
  <c r="CJ11" i="6"/>
  <c r="CK11" i="6"/>
  <c r="CL11" i="6"/>
  <c r="CM11" i="6"/>
  <c r="CN11" i="6"/>
  <c r="CO11" i="6"/>
  <c r="CP11" i="6"/>
  <c r="CQ11" i="6"/>
  <c r="CR11" i="6"/>
  <c r="CS11" i="6"/>
  <c r="CT11" i="6"/>
  <c r="BX3" i="6"/>
  <c r="BY3" i="6"/>
  <c r="BX4" i="6"/>
  <c r="BY4" i="6"/>
  <c r="BX5" i="6"/>
  <c r="BY5" i="6"/>
  <c r="BX6" i="6"/>
  <c r="BY6" i="6"/>
  <c r="BX7" i="6"/>
  <c r="BY7" i="6"/>
  <c r="BX8" i="6"/>
  <c r="BY8" i="6"/>
  <c r="BX9" i="6"/>
  <c r="BY9" i="6"/>
  <c r="BX10" i="6"/>
  <c r="BY10" i="6"/>
  <c r="BX11" i="6"/>
  <c r="BY11" i="6"/>
  <c r="BX12" i="6"/>
  <c r="BY12" i="6"/>
  <c r="BX13" i="6"/>
  <c r="BY13" i="6"/>
  <c r="BX14" i="6"/>
  <c r="BY14" i="6"/>
  <c r="O15" i="6"/>
  <c r="M15" i="6"/>
  <c r="K15" i="6"/>
  <c r="I15" i="6"/>
  <c r="G15" i="6"/>
  <c r="E15" i="6"/>
  <c r="E14" i="6"/>
  <c r="CX4" i="4" l="1"/>
  <c r="CW5" i="4"/>
  <c r="CW4" i="4"/>
  <c r="DJ2" i="4"/>
  <c r="CP4" i="4"/>
  <c r="DB2" i="4"/>
  <c r="DC9" i="4"/>
  <c r="DA6" i="4"/>
  <c r="DB6" i="4" s="1"/>
  <c r="DC6" i="4" s="1"/>
  <c r="DD6" i="4" s="1"/>
  <c r="DE6" i="4" s="1"/>
  <c r="DF6" i="4" s="1"/>
  <c r="DG6" i="4" s="1"/>
  <c r="CP3" i="4"/>
  <c r="DJ9" i="4"/>
  <c r="CF2" i="6"/>
  <c r="CN2" i="6"/>
  <c r="DK9" i="4" l="1"/>
  <c r="CX5" i="4"/>
  <c r="CW6" i="4"/>
  <c r="DD9" i="4"/>
  <c r="CO4" i="4"/>
  <c r="CO5" i="4"/>
  <c r="DC2" i="4"/>
  <c r="CP5" i="4"/>
  <c r="DK2" i="4"/>
  <c r="CC4" i="6"/>
  <c r="CO2" i="6"/>
  <c r="CB4" i="6"/>
  <c r="CG2" i="6"/>
  <c r="CP6" i="4" l="1"/>
  <c r="DL2" i="4"/>
  <c r="CO6" i="4"/>
  <c r="DD2" i="4"/>
  <c r="DE9" i="4"/>
  <c r="CW7" i="4"/>
  <c r="DL9" i="4"/>
  <c r="CX6" i="4"/>
  <c r="CB5" i="6"/>
  <c r="CH2" i="6"/>
  <c r="CC5" i="6"/>
  <c r="CP2" i="6"/>
  <c r="DM9" i="4" l="1"/>
  <c r="CX7" i="4"/>
  <c r="CW8" i="4"/>
  <c r="DF9" i="4"/>
  <c r="CO7" i="4"/>
  <c r="DE2" i="4"/>
  <c r="CP7" i="4"/>
  <c r="DM2" i="4"/>
  <c r="CC6" i="6"/>
  <c r="CQ2" i="6"/>
  <c r="CI2" i="6"/>
  <c r="CB6" i="6"/>
  <c r="DN2" i="4" l="1"/>
  <c r="CP8" i="4"/>
  <c r="CO8" i="4"/>
  <c r="DF2" i="4"/>
  <c r="DG9" i="4"/>
  <c r="CW10" i="4" s="1"/>
  <c r="CW9" i="4"/>
  <c r="CX8" i="4"/>
  <c r="DN9" i="4"/>
  <c r="CJ2" i="6"/>
  <c r="CB7" i="6"/>
  <c r="CC7" i="6"/>
  <c r="CR2" i="6"/>
  <c r="CO9" i="4" l="1"/>
  <c r="DG2" i="4"/>
  <c r="CO10" i="4" s="1"/>
  <c r="CX9" i="4"/>
  <c r="DO9" i="4"/>
  <c r="CX10" i="4" s="1"/>
  <c r="DO2" i="4"/>
  <c r="CP10" i="4" s="1"/>
  <c r="CP9" i="4"/>
  <c r="CS2" i="6"/>
  <c r="CC8" i="6"/>
  <c r="CB8" i="6"/>
  <c r="CK2" i="6"/>
  <c r="CB9" i="6" l="1"/>
  <c r="CL2" i="6"/>
  <c r="CB10" i="6" s="1"/>
  <c r="CT2" i="6"/>
  <c r="CC10" i="6" s="1"/>
  <c r="CC9" i="6"/>
</calcChain>
</file>

<file path=xl/sharedStrings.xml><?xml version="1.0" encoding="utf-8"?>
<sst xmlns="http://schemas.openxmlformats.org/spreadsheetml/2006/main" count="836" uniqueCount="276">
  <si>
    <t>filing_date</t>
  </si>
  <si>
    <t>ai_weight_change</t>
  </si>
  <si>
    <t>ai_weight_current</t>
  </si>
  <si>
    <t>Q-4_SMH</t>
  </si>
  <si>
    <t>Q-3_SMH</t>
  </si>
  <si>
    <t>Q-2_SMH</t>
  </si>
  <si>
    <t>Q-1_SMH</t>
  </si>
  <si>
    <t>Q+1_SMH</t>
  </si>
  <si>
    <t>Q+2_SMH</t>
  </si>
  <si>
    <t>Q+3_SMH</t>
  </si>
  <si>
    <t>Q+4_SMH</t>
  </si>
  <si>
    <t>Q+5_SMH</t>
  </si>
  <si>
    <t>Q+6_SMH</t>
  </si>
  <si>
    <t>Q+7_SMH</t>
  </si>
  <si>
    <t>Q+8_SMH</t>
  </si>
  <si>
    <t>subtheme</t>
  </si>
  <si>
    <t>entering_tickers</t>
  </si>
  <si>
    <t>total_subtheme_weight</t>
  </si>
  <si>
    <t>Q+1_alloc</t>
  </si>
  <si>
    <t>Q+1_basket</t>
  </si>
  <si>
    <t>Q+2_alloc</t>
  </si>
  <si>
    <t>Q+2_basket</t>
  </si>
  <si>
    <t>Q+3_alloc</t>
  </si>
  <si>
    <t>Q+3_basket</t>
  </si>
  <si>
    <t>Q+4_alloc</t>
  </si>
  <si>
    <t>Q+4_basket</t>
  </si>
  <si>
    <t>Q+5_alloc</t>
  </si>
  <si>
    <t>Q+5_basket</t>
  </si>
  <si>
    <t>Q+6_alloc</t>
  </si>
  <si>
    <t>Q+6_basket</t>
  </si>
  <si>
    <t>Q+7_alloc</t>
  </si>
  <si>
    <t>Q+7_basket</t>
  </si>
  <si>
    <t>Q+8_alloc</t>
  </si>
  <si>
    <t>Q+8_basket</t>
  </si>
  <si>
    <t>Q+9_alloc</t>
  </si>
  <si>
    <t>Q+9_basket</t>
  </si>
  <si>
    <t>Q+9_SMH</t>
  </si>
  <si>
    <t>Q+10_alloc</t>
  </si>
  <si>
    <t>Q+10_basket</t>
  </si>
  <si>
    <t>Q+10_SMH</t>
  </si>
  <si>
    <t>Q+11_alloc</t>
  </si>
  <si>
    <t>Q+11_basket</t>
  </si>
  <si>
    <t>Q+11_SMH</t>
  </si>
  <si>
    <t>Q+12_alloc</t>
  </si>
  <si>
    <t>Q+12_basket</t>
  </si>
  <si>
    <t>Q+12_SMH</t>
  </si>
  <si>
    <t>Q+13_alloc</t>
  </si>
  <si>
    <t>Q+13_basket</t>
  </si>
  <si>
    <t>Q+13_SMH</t>
  </si>
  <si>
    <t>Q+14_alloc</t>
  </si>
  <si>
    <t>Q+14_basket</t>
  </si>
  <si>
    <t>Q+14_SMH</t>
  </si>
  <si>
    <t>Q+15_alloc</t>
  </si>
  <si>
    <t>Q+15_basket</t>
  </si>
  <si>
    <t>Q+15_SMH</t>
  </si>
  <si>
    <t>Q+16_alloc</t>
  </si>
  <si>
    <t>Q+16_basket</t>
  </si>
  <si>
    <t>Q+16_SMH</t>
  </si>
  <si>
    <t>Q+17_alloc</t>
  </si>
  <si>
    <t>Q+17_basket</t>
  </si>
  <si>
    <t>Q+17_SMH</t>
  </si>
  <si>
    <t>Q+18_alloc</t>
  </si>
  <si>
    <t>Q+18_basket</t>
  </si>
  <si>
    <t>Q+18_SMH</t>
  </si>
  <si>
    <t>Q+19_alloc</t>
  </si>
  <si>
    <t>Q+19_basket</t>
  </si>
  <si>
    <t>Q+19_SMH</t>
  </si>
  <si>
    <t>Q+20_alloc</t>
  </si>
  <si>
    <t>Q+20_basket</t>
  </si>
  <si>
    <t>Q+20_SMH</t>
  </si>
  <si>
    <t>Q+21_alloc</t>
  </si>
  <si>
    <t>Q+21_basket</t>
  </si>
  <si>
    <t>Q+21_SMH</t>
  </si>
  <si>
    <t>Q+22_alloc</t>
  </si>
  <si>
    <t>Q+22_basket</t>
  </si>
  <si>
    <t>Q+22_SMH</t>
  </si>
  <si>
    <t>Q+23_alloc</t>
  </si>
  <si>
    <t>Q+23_basket</t>
  </si>
  <si>
    <t>Q+23_SMH</t>
  </si>
  <si>
    <t>Q+24_alloc</t>
  </si>
  <si>
    <t>Q+24_basket</t>
  </si>
  <si>
    <t>Q+24_SMH</t>
  </si>
  <si>
    <t>AI/Datacenter Chips</t>
  </si>
  <si>
    <t>NVDA</t>
  </si>
  <si>
    <t>AI/Hyperscaler</t>
  </si>
  <si>
    <t>GOOGL, AMZN</t>
  </si>
  <si>
    <t>AI/Datacenter Memory</t>
  </si>
  <si>
    <t>MU</t>
  </si>
  <si>
    <t>AI/EV</t>
  </si>
  <si>
    <t>TSLA</t>
  </si>
  <si>
    <t>AI/Edge Computing</t>
  </si>
  <si>
    <t>XLNX</t>
  </si>
  <si>
    <t>Semiconductor Manufacturing</t>
  </si>
  <si>
    <t>INTC</t>
  </si>
  <si>
    <t>AI/Datacenter Storage</t>
  </si>
  <si>
    <t>P</t>
  </si>
  <si>
    <t>AI/Datacenter Infrastructure</t>
  </si>
  <si>
    <t>HPE</t>
  </si>
  <si>
    <t>AI/Datacenter Optical</t>
  </si>
  <si>
    <t>CIEN, COHR</t>
  </si>
  <si>
    <t>AI/Datacenter Networking</t>
  </si>
  <si>
    <t>ALAB</t>
  </si>
  <si>
    <t>AI/Data Infrastructure</t>
  </si>
  <si>
    <t>MDB</t>
  </si>
  <si>
    <t>Semiconductor Supply Chain</t>
  </si>
  <si>
    <t>AMKR</t>
  </si>
  <si>
    <t>AI/World Models</t>
  </si>
  <si>
    <t>U</t>
  </si>
  <si>
    <t>AI/Datacenter Compute</t>
  </si>
  <si>
    <t>CRWV</t>
  </si>
  <si>
    <t>AI/Datacenter Power</t>
  </si>
  <si>
    <t>VST</t>
  </si>
  <si>
    <t>ticker</t>
  </si>
  <si>
    <t>theme</t>
  </si>
  <si>
    <t>initial_weight_pct</t>
  </si>
  <si>
    <t>Q+1_ticker</t>
  </si>
  <si>
    <t>Q+2_ticker</t>
  </si>
  <si>
    <t>Q+3_ticker</t>
  </si>
  <si>
    <t>Q+4_ticker</t>
  </si>
  <si>
    <t>Q+5_ticker</t>
  </si>
  <si>
    <t>Q+6_ticker</t>
  </si>
  <si>
    <t>Q+7_ticker</t>
  </si>
  <si>
    <t>Q+8_ticker</t>
  </si>
  <si>
    <t>Q+9_ticker</t>
  </si>
  <si>
    <t>Q+10_ticker</t>
  </si>
  <si>
    <t>Q+11_ticker</t>
  </si>
  <si>
    <t>Q+12_ticker</t>
  </si>
  <si>
    <t>Q+13_ticker</t>
  </si>
  <si>
    <t>Q+14_ticker</t>
  </si>
  <si>
    <t>Q+15_ticker</t>
  </si>
  <si>
    <t>Q+16_ticker</t>
  </si>
  <si>
    <t>Q+17_ticker</t>
  </si>
  <si>
    <t>Q+18_ticker</t>
  </si>
  <si>
    <t>Q+19_ticker</t>
  </si>
  <si>
    <t>Q+20_ticker</t>
  </si>
  <si>
    <t>Q+21_ticker</t>
  </si>
  <si>
    <t>Q+22_ticker</t>
  </si>
  <si>
    <t>Q+23_ticker</t>
  </si>
  <si>
    <t>Q+24_ticker</t>
  </si>
  <si>
    <t>AMZN</t>
  </si>
  <si>
    <t>AMD</t>
  </si>
  <si>
    <t>META</t>
  </si>
  <si>
    <t>ORCL</t>
  </si>
  <si>
    <t>MSFT</t>
  </si>
  <si>
    <t>GOOGL</t>
  </si>
  <si>
    <t>CIEN</t>
  </si>
  <si>
    <t>MRVL</t>
  </si>
  <si>
    <t>SNOW</t>
  </si>
  <si>
    <t>AVGO</t>
  </si>
  <si>
    <t>subtheme_weight_prior</t>
  </si>
  <si>
    <t>subtheme_weight_current</t>
  </si>
  <si>
    <t>active_tickers</t>
  </si>
  <si>
    <t>all_tickers</t>
  </si>
  <si>
    <t>Q-4_basket</t>
  </si>
  <si>
    <t>Q-3_basket</t>
  </si>
  <si>
    <t>Q-2_basket</t>
  </si>
  <si>
    <t>Q-1_basket</t>
  </si>
  <si>
    <t>AMZN, GOOGL</t>
  </si>
  <si>
    <t>AMD, MRVL</t>
  </si>
  <si>
    <t>GOOGL, META, MSFT</t>
  </si>
  <si>
    <t>MDB, SNOW</t>
  </si>
  <si>
    <t>CIEN, LITE</t>
  </si>
  <si>
    <t>AKAM</t>
  </si>
  <si>
    <t>AKAM, AMBQ, SMTC</t>
  </si>
  <si>
    <t>ticker_1</t>
  </si>
  <si>
    <t>wt_1</t>
  </si>
  <si>
    <t>ticker_2</t>
  </si>
  <si>
    <t>wt_2</t>
  </si>
  <si>
    <t>ticker_3</t>
  </si>
  <si>
    <t>wt_3</t>
  </si>
  <si>
    <t>ticker_4</t>
  </si>
  <si>
    <t>wt_4</t>
  </si>
  <si>
    <t>ticker_5</t>
  </si>
  <si>
    <t>wt_5</t>
  </si>
  <si>
    <t>ticker_6</t>
  </si>
  <si>
    <t>wt_6</t>
  </si>
  <si>
    <t>ticker_7</t>
  </si>
  <si>
    <t>wt_7</t>
  </si>
  <si>
    <t>ticker_8</t>
  </si>
  <si>
    <t>wt_8</t>
  </si>
  <si>
    <t>ticker_9</t>
  </si>
  <si>
    <t>wt_9</t>
  </si>
  <si>
    <t>ticker_10</t>
  </si>
  <si>
    <t>wt_10</t>
  </si>
  <si>
    <t>ticker_11</t>
  </si>
  <si>
    <t>wt_11</t>
  </si>
  <si>
    <t>ticker_12</t>
  </si>
  <si>
    <t>wt_12</t>
  </si>
  <si>
    <t>ticker_13</t>
  </si>
  <si>
    <t>wt_13</t>
  </si>
  <si>
    <t>ticker_14</t>
  </si>
  <si>
    <t>wt_14</t>
  </si>
  <si>
    <t>ticker_15</t>
  </si>
  <si>
    <t>wt_15</t>
  </si>
  <si>
    <t>ticker_16</t>
  </si>
  <si>
    <t>wt_16</t>
  </si>
  <si>
    <t>ticker_17</t>
  </si>
  <si>
    <t>wt_17</t>
  </si>
  <si>
    <t>Q-4_EW</t>
  </si>
  <si>
    <t>Q-4_CW</t>
  </si>
  <si>
    <t>Q-3_EW</t>
  </si>
  <si>
    <t>Q-3_CW</t>
  </si>
  <si>
    <t>Q-2_EW</t>
  </si>
  <si>
    <t>Q-2_CW</t>
  </si>
  <si>
    <t>Q-1_EW</t>
  </si>
  <si>
    <t>Q-1_CW</t>
  </si>
  <si>
    <t>Q+1_EW</t>
  </si>
  <si>
    <t>Q+1_CW</t>
  </si>
  <si>
    <t>Q+2_EW</t>
  </si>
  <si>
    <t>Q+2_CW</t>
  </si>
  <si>
    <t>Q+3_EW</t>
  </si>
  <si>
    <t>Q+3_CW</t>
  </si>
  <si>
    <t>Q+4_EW</t>
  </si>
  <si>
    <t>Q+4_CW</t>
  </si>
  <si>
    <t>Q+5_EW</t>
  </si>
  <si>
    <t>Q+5_CW</t>
  </si>
  <si>
    <t>Q+6_EW</t>
  </si>
  <si>
    <t>Q+6_CW</t>
  </si>
  <si>
    <t>Q+7_EW</t>
  </si>
  <si>
    <t>Q+7_CW</t>
  </si>
  <si>
    <t>Q+8_EW</t>
  </si>
  <si>
    <t>Q+8_CW</t>
  </si>
  <si>
    <t>COHR</t>
  </si>
  <si>
    <t>LITE</t>
  </si>
  <si>
    <t>SNPS</t>
  </si>
  <si>
    <t>SMTC</t>
  </si>
  <si>
    <t>AMBQ</t>
  </si>
  <si>
    <t>ROG</t>
  </si>
  <si>
    <t>VECO</t>
  </si>
  <si>
    <t>Average Return by Quarter</t>
  </si>
  <si>
    <t>Quarter</t>
  </si>
  <si>
    <t>CW</t>
  </si>
  <si>
    <t>SMH</t>
  </si>
  <si>
    <t>Q-4</t>
  </si>
  <si>
    <t>Q-3</t>
  </si>
  <si>
    <t>Q-2</t>
  </si>
  <si>
    <t>Q-1</t>
  </si>
  <si>
    <t>Q+1</t>
  </si>
  <si>
    <t>Q+2</t>
  </si>
  <si>
    <t>Q+3</t>
  </si>
  <si>
    <t>Q+4</t>
  </si>
  <si>
    <t>Q+5</t>
  </si>
  <si>
    <t>Q+6</t>
  </si>
  <si>
    <t>Q+7</t>
  </si>
  <si>
    <t>Q+8</t>
  </si>
  <si>
    <t>CW Q+1</t>
  </si>
  <si>
    <t>CW Q+2</t>
  </si>
  <si>
    <t>CW Q+3</t>
  </si>
  <si>
    <t>CW Q+4</t>
  </si>
  <si>
    <t>CW Q+5</t>
  </si>
  <si>
    <t>CW Q+6</t>
  </si>
  <si>
    <t>CW Q+7</t>
  </si>
  <si>
    <t>CW Q+8</t>
  </si>
  <si>
    <t>SMH Q+1</t>
  </si>
  <si>
    <t>SMH Q+2</t>
  </si>
  <si>
    <t>SMH Q+3</t>
  </si>
  <si>
    <t>SMH Q+4</t>
  </si>
  <si>
    <t>SMH Q+5</t>
  </si>
  <si>
    <t>SMH Q+6</t>
  </si>
  <si>
    <t>SMH Q+7</t>
  </si>
  <si>
    <t>SMH Q+8</t>
  </si>
  <si>
    <t>Average Cumulative Return from Q+1</t>
  </si>
  <si>
    <t>All Data — Average Return by Quarter</t>
  </si>
  <si>
    <t>Basket</t>
  </si>
  <si>
    <t>After Jan 1, 2023 — Average Return by Quarter</t>
  </si>
  <si>
    <t>Post-period cutoff</t>
  </si>
  <si>
    <t>Basket Q+1</t>
  </si>
  <si>
    <t>Basket Q+2</t>
  </si>
  <si>
    <t>Basket Q+3</t>
  </si>
  <si>
    <t>Basket Q+4</t>
  </si>
  <si>
    <t>Basket Q+5</t>
  </si>
  <si>
    <t>Basket Q+6</t>
  </si>
  <si>
    <t>Basket Q+7</t>
  </si>
  <si>
    <t>Basket Q+8</t>
  </si>
  <si>
    <t>All Data — Average Cumulative Return from Q+1</t>
  </si>
  <si>
    <t>After Jan 1, 2023 — Average Cumulative Return from Q+1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</si>
</sst>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yyyy\-mm\-dd"/>
    <numFmt numFmtId="165" formatCode="\+0.0%;\-0.0%;0.0%"/>
    <numFmt numFmtId="166" formatCode="0.0%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name val="Aptos Narrow"/>
    </font>
    <font>
      <b/>
      <sz val="11"/>
      <color theme="1"/>
      <name val="Aptos Narrow"/>
    </font>
    <font>
      <sz val="11"/>
      <color theme="1"/>
      <name val="Aptos Narrow"/>
    </font>
    <font>
      <sz val="11"/>
      <color rgb="FF0000FF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DCF0DC"/>
      </patternFill>
    </fill>
    <fill>
      <patternFill patternType="solid">
        <fgColor rgb="FFF0DCDC"/>
      </patternFill>
    </fill>
    <fill>
      <patternFill patternType="solid">
        <fgColor rgb="FFD9E2F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5" fontId="0" fillId="2" borderId="0" xfId="0" applyNumberFormat="1" applyFill="1"/>
    <xf numFmtId="165" fontId="0" fillId="3" borderId="0" xfId="0" applyNumberFormat="1" applyFill="1"/>
    <xf numFmtId="43" fontId="0" fillId="0" borderId="0" xfId="1" applyFont="1"/>
    <xf numFmtId="0" fontId="3" fillId="4" borderId="0" xfId="0" applyFont="1" applyFill="1" applyAlignment="1">
      <alignment horizontal="center"/>
    </xf>
    <xf numFmtId="0" fontId="4" fillId="4" borderId="0" xfId="0" applyFont="1" applyFill="1"/>
    <xf numFmtId="0" fontId="4" fillId="4" borderId="0" xfId="0" applyNumberFormat="1" applyFont="1" applyFill="1"/>
    <xf numFmtId="0" fontId="5" fillId="0" borderId="0" xfId="0" applyNumberFormat="1" applyFont="1"/>
    <xf numFmtId="166" fontId="5" fillId="0" borderId="0" xfId="0" applyNumberFormat="1" applyFont="1"/>
    <xf numFmtId="0" fontId="5" fillId="0" borderId="0" xfId="0" applyFont="1"/>
    <xf numFmtId="164" fontId="6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/>
                <a:ea typeface="Aptos Narrow"/>
                <a:cs typeface="Aptos Narrow"/>
              </a:defRPr>
            </a:pPr>
            <a:r>
              <a:rPr lang="en-US"/>
              <a:t>All Data — Average Return by Quarter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Cross4pct!$CK$2</c:f>
              <c:strCache>
                <c:ptCount val="1"/>
                <c:pt idx="0">
                  <c:v>Basket</c:v>
                </c:pt>
              </c:strCache>
            </c:strRef>
          </c:tx>
          <c:spPr>
            <a:ln w="28575" cap="rnd">
              <a:solidFill>
                <a:srgbClr val="4472C4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rgbClr val="4472C4"/>
              </a:solidFill>
              <a:ln w="9525">
                <a:solidFill>
                  <a:srgbClr val="4472C4"/>
                </a:solidFill>
                <a:prstDash val="solid"/>
              </a:ln>
              <a:effectLst/>
            </c:spPr>
          </c:marker>
          <c:cat>
            <c:strRef>
              <c:f>Cross4pct!$CJ$3:$CJ$14</c:f>
              <c:strCache>
                <c:ptCount val="12"/>
                <c:pt idx="0">
                  <c:v>Q-4</c:v>
                </c:pt>
                <c:pt idx="1">
                  <c:v>Q-3</c:v>
                </c:pt>
                <c:pt idx="2">
                  <c:v>Q-2</c:v>
                </c:pt>
                <c:pt idx="3">
                  <c:v>Q-1</c:v>
                </c:pt>
                <c:pt idx="4">
                  <c:v>Q+1</c:v>
                </c:pt>
                <c:pt idx="5">
                  <c:v>Q+2</c:v>
                </c:pt>
                <c:pt idx="6">
                  <c:v>Q+3</c:v>
                </c:pt>
                <c:pt idx="7">
                  <c:v>Q+4</c:v>
                </c:pt>
                <c:pt idx="8">
                  <c:v>Q+5</c:v>
                </c:pt>
                <c:pt idx="9">
                  <c:v>Q+6</c:v>
                </c:pt>
                <c:pt idx="10">
                  <c:v>Q+7</c:v>
                </c:pt>
                <c:pt idx="11">
                  <c:v>Q+8</c:v>
                </c:pt>
              </c:strCache>
            </c:strRef>
          </c:cat>
          <c:val>
            <c:numRef>
              <c:f>Cross4pct!$CK$3:$CK$14</c:f>
              <c:numCache>
                <c:formatCode>0.0%</c:formatCode>
                <c:ptCount val="12"/>
                <c:pt idx="0">
                  <c:v>0.10641315789473685</c:v>
                </c:pt>
                <c:pt idx="1">
                  <c:v>5.4982456140350876E-2</c:v>
                </c:pt>
                <c:pt idx="2">
                  <c:v>-6.8114035087719332E-3</c:v>
                </c:pt>
                <c:pt idx="3">
                  <c:v>0.12368333333333333</c:v>
                </c:pt>
                <c:pt idx="4">
                  <c:v>0.18765166666666666</c:v>
                </c:pt>
                <c:pt idx="5">
                  <c:v>0.17417192982456142</c:v>
                </c:pt>
                <c:pt idx="6">
                  <c:v>6.8487719298245639E-2</c:v>
                </c:pt>
                <c:pt idx="7">
                  <c:v>6.4283333333333345E-2</c:v>
                </c:pt>
                <c:pt idx="8">
                  <c:v>0.12425520833333334</c:v>
                </c:pt>
                <c:pt idx="9">
                  <c:v>5.4638888888888876E-2</c:v>
                </c:pt>
                <c:pt idx="10">
                  <c:v>0.18142000000000003</c:v>
                </c:pt>
                <c:pt idx="11">
                  <c:v>0.17842820512820515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69-3D43-A03A-FBF239BCA844}"/>
            </c:ext>
          </c:extLst>
        </c:ser>
        <c:ser>
          <c:idx val="1"/>
          <c:order val="1"/>
          <c:tx>
            <c:strRef>
              <c:f>Cross4pct!$CL$2</c:f>
              <c:strCache>
                <c:ptCount val="1"/>
                <c:pt idx="0">
                  <c:v>SMH</c:v>
                </c:pt>
              </c:strCache>
            </c:strRef>
          </c:tx>
          <c:spPr>
            <a:ln w="28575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rgbClr val="ED7D31"/>
              </a:solidFill>
              <a:ln w="9525">
                <a:solidFill>
                  <a:srgbClr val="ED7D31"/>
                </a:solidFill>
                <a:prstDash val="solid"/>
              </a:ln>
              <a:effectLst/>
            </c:spPr>
          </c:marker>
          <c:cat>
            <c:strRef>
              <c:f>Cross4pct!$CJ$3:$CJ$14</c:f>
              <c:strCache>
                <c:ptCount val="12"/>
                <c:pt idx="0">
                  <c:v>Q-4</c:v>
                </c:pt>
                <c:pt idx="1">
                  <c:v>Q-3</c:v>
                </c:pt>
                <c:pt idx="2">
                  <c:v>Q-2</c:v>
                </c:pt>
                <c:pt idx="3">
                  <c:v>Q-1</c:v>
                </c:pt>
                <c:pt idx="4">
                  <c:v>Q+1</c:v>
                </c:pt>
                <c:pt idx="5">
                  <c:v>Q+2</c:v>
                </c:pt>
                <c:pt idx="6">
                  <c:v>Q+3</c:v>
                </c:pt>
                <c:pt idx="7">
                  <c:v>Q+4</c:v>
                </c:pt>
                <c:pt idx="8">
                  <c:v>Q+5</c:v>
                </c:pt>
                <c:pt idx="9">
                  <c:v>Q+6</c:v>
                </c:pt>
                <c:pt idx="10">
                  <c:v>Q+7</c:v>
                </c:pt>
                <c:pt idx="11">
                  <c:v>Q+8</c:v>
                </c:pt>
              </c:strCache>
            </c:strRef>
          </c:cat>
          <c:val>
            <c:numRef>
              <c:f>Cross4pct!$CL$3:$CL$14</c:f>
              <c:numCache>
                <c:formatCode>0.0%</c:formatCode>
                <c:ptCount val="12"/>
                <c:pt idx="0">
                  <c:v>8.824499999999999E-2</c:v>
                </c:pt>
                <c:pt idx="1">
                  <c:v>9.9290000000000017E-2</c:v>
                </c:pt>
                <c:pt idx="2">
                  <c:v>0.12572500000000003</c:v>
                </c:pt>
                <c:pt idx="3">
                  <c:v>0.10567619047619049</c:v>
                </c:pt>
                <c:pt idx="4">
                  <c:v>0.11448000000000003</c:v>
                </c:pt>
                <c:pt idx="5">
                  <c:v>9.3194736842105289E-2</c:v>
                </c:pt>
                <c:pt idx="6">
                  <c:v>7.1400000000000005E-2</c:v>
                </c:pt>
                <c:pt idx="7">
                  <c:v>9.0688235294117667E-2</c:v>
                </c:pt>
                <c:pt idx="8">
                  <c:v>9.3050000000000008E-2</c:v>
                </c:pt>
                <c:pt idx="9">
                  <c:v>0.11737333333333334</c:v>
                </c:pt>
                <c:pt idx="10">
                  <c:v>0.10957333333333334</c:v>
                </c:pt>
                <c:pt idx="11">
                  <c:v>0.1455846153846154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69-3D43-A03A-FBF239BCA8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5094687"/>
        <c:axId val="1465609599"/>
      </c:lineChart>
      <c:catAx>
        <c:axId val="14650946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Quarter Relative to Filing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5609599"/>
        <c:crosses val="autoZero"/>
        <c:auto val="0"/>
        <c:lblAlgn val="ctr"/>
        <c:lblOffset val="100"/>
        <c:noMultiLvlLbl val="0"/>
      </c:catAx>
      <c:valAx>
        <c:axId val="1465609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Return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5094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rgbClr val="BFBFBF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/>
                <a:ea typeface="Aptos Narrow"/>
                <a:cs typeface="Aptos Narrow"/>
              </a:defRPr>
            </a:pPr>
            <a:r>
              <a:rPr lang="en-US"/>
              <a:t>All Data — Average Cumulative Return from Q+1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Cross4pct!$CO$2</c:f>
              <c:strCache>
                <c:ptCount val="1"/>
                <c:pt idx="0">
                  <c:v>Basket</c:v>
                </c:pt>
              </c:strCache>
            </c:strRef>
          </c:tx>
          <c:spPr>
            <a:ln w="28575" cap="rnd">
              <a:solidFill>
                <a:srgbClr val="4472C4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rgbClr val="4472C4"/>
              </a:solidFill>
              <a:ln w="9525">
                <a:solidFill>
                  <a:srgbClr val="4472C4"/>
                </a:solidFill>
                <a:prstDash val="solid"/>
              </a:ln>
              <a:effectLst/>
            </c:spPr>
          </c:marker>
          <c:cat>
            <c:strRef>
              <c:f>Cross4pct!$CN$3:$CN$10</c:f>
              <c:strCache>
                <c:ptCount val="8"/>
                <c:pt idx="0">
                  <c:v>Q+1</c:v>
                </c:pt>
                <c:pt idx="1">
                  <c:v>Q+2</c:v>
                </c:pt>
                <c:pt idx="2">
                  <c:v>Q+3</c:v>
                </c:pt>
                <c:pt idx="3">
                  <c:v>Q+4</c:v>
                </c:pt>
                <c:pt idx="4">
                  <c:v>Q+5</c:v>
                </c:pt>
                <c:pt idx="5">
                  <c:v>Q+6</c:v>
                </c:pt>
                <c:pt idx="6">
                  <c:v>Q+7</c:v>
                </c:pt>
                <c:pt idx="7">
                  <c:v>Q+8</c:v>
                </c:pt>
              </c:strCache>
            </c:strRef>
          </c:cat>
          <c:val>
            <c:numRef>
              <c:f>Cross4pct!$CO$3:$CO$10</c:f>
              <c:numCache>
                <c:formatCode>0.0%</c:formatCode>
                <c:ptCount val="8"/>
                <c:pt idx="0">
                  <c:v>0.18765166666666666</c:v>
                </c:pt>
                <c:pt idx="1">
                  <c:v>0.40348325884502922</c:v>
                </c:pt>
                <c:pt idx="2">
                  <c:v>0.55165406589137767</c:v>
                </c:pt>
                <c:pt idx="3">
                  <c:v>0.32428166372249451</c:v>
                </c:pt>
                <c:pt idx="4">
                  <c:v>0.48524799146375303</c:v>
                </c:pt>
                <c:pt idx="5">
                  <c:v>0.52600427793712268</c:v>
                </c:pt>
                <c:pt idx="6">
                  <c:v>0.78751901736664853</c:v>
                </c:pt>
                <c:pt idx="7">
                  <c:v>1.1378110627437441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E9-AE4F-8F02-9654446480B8}"/>
            </c:ext>
          </c:extLst>
        </c:ser>
        <c:ser>
          <c:idx val="1"/>
          <c:order val="1"/>
          <c:tx>
            <c:strRef>
              <c:f>Cross4pct!$CP$2</c:f>
              <c:strCache>
                <c:ptCount val="1"/>
                <c:pt idx="0">
                  <c:v>SMH</c:v>
                </c:pt>
              </c:strCache>
            </c:strRef>
          </c:tx>
          <c:spPr>
            <a:ln w="28575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rgbClr val="ED7D31"/>
              </a:solidFill>
              <a:ln w="9525">
                <a:solidFill>
                  <a:srgbClr val="ED7D31"/>
                </a:solidFill>
                <a:prstDash val="solid"/>
              </a:ln>
              <a:effectLst/>
            </c:spPr>
          </c:marker>
          <c:cat>
            <c:strRef>
              <c:f>Cross4pct!$CN$3:$CN$10</c:f>
              <c:strCache>
                <c:ptCount val="8"/>
                <c:pt idx="0">
                  <c:v>Q+1</c:v>
                </c:pt>
                <c:pt idx="1">
                  <c:v>Q+2</c:v>
                </c:pt>
                <c:pt idx="2">
                  <c:v>Q+3</c:v>
                </c:pt>
                <c:pt idx="3">
                  <c:v>Q+4</c:v>
                </c:pt>
                <c:pt idx="4">
                  <c:v>Q+5</c:v>
                </c:pt>
                <c:pt idx="5">
                  <c:v>Q+6</c:v>
                </c:pt>
                <c:pt idx="6">
                  <c:v>Q+7</c:v>
                </c:pt>
                <c:pt idx="7">
                  <c:v>Q+8</c:v>
                </c:pt>
              </c:strCache>
            </c:strRef>
          </c:cat>
          <c:val>
            <c:numRef>
              <c:f>Cross4pct!$CP$3:$CP$10</c:f>
              <c:numCache>
                <c:formatCode>0.0%</c:formatCode>
                <c:ptCount val="8"/>
                <c:pt idx="0">
                  <c:v>0.11448000000000003</c:v>
                </c:pt>
                <c:pt idx="1">
                  <c:v>0.20704130526315792</c:v>
                </c:pt>
                <c:pt idx="2">
                  <c:v>0.30971206662800005</c:v>
                </c:pt>
                <c:pt idx="3">
                  <c:v>0.36338416527289502</c:v>
                </c:pt>
                <c:pt idx="4">
                  <c:v>0.4398627179437592</c:v>
                </c:pt>
                <c:pt idx="5">
                  <c:v>0.54482378220887717</c:v>
                </c:pt>
                <c:pt idx="6">
                  <c:v>0.70432099937922854</c:v>
                </c:pt>
                <c:pt idx="7">
                  <c:v>0.8265630233822947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E9-AE4F-8F02-9654446480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5668543"/>
        <c:axId val="1465670255"/>
      </c:lineChart>
      <c:catAx>
        <c:axId val="14656685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Quarter Relative to Filing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5670255"/>
        <c:crosses val="autoZero"/>
        <c:auto val="0"/>
        <c:lblAlgn val="ctr"/>
        <c:lblOffset val="100"/>
        <c:noMultiLvlLbl val="0"/>
      </c:catAx>
      <c:valAx>
        <c:axId val="146567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Return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5668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rgbClr val="BFBFBF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/>
                <a:ea typeface="Aptos Narrow"/>
                <a:cs typeface="Aptos Narrow"/>
              </a:defRPr>
            </a:pPr>
            <a:r>
              <a:rPr lang="en-US"/>
              <a:t>After Jan 1, 2023 — Average Return by Quarter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Cross4pct!$CS$2</c:f>
              <c:strCache>
                <c:ptCount val="1"/>
                <c:pt idx="0">
                  <c:v>Basket</c:v>
                </c:pt>
              </c:strCache>
            </c:strRef>
          </c:tx>
          <c:spPr>
            <a:ln w="28575" cap="rnd">
              <a:solidFill>
                <a:srgbClr val="4472C4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rgbClr val="4472C4"/>
              </a:solidFill>
              <a:ln w="9525">
                <a:solidFill>
                  <a:srgbClr val="4472C4"/>
                </a:solidFill>
                <a:prstDash val="solid"/>
              </a:ln>
              <a:effectLst/>
            </c:spPr>
          </c:marker>
          <c:cat>
            <c:strRef>
              <c:f>Cross4pct!$CR$3:$CR$14</c:f>
              <c:strCache>
                <c:ptCount val="12"/>
                <c:pt idx="0">
                  <c:v>Q-4</c:v>
                </c:pt>
                <c:pt idx="1">
                  <c:v>Q-3</c:v>
                </c:pt>
                <c:pt idx="2">
                  <c:v>Q-2</c:v>
                </c:pt>
                <c:pt idx="3">
                  <c:v>Q-1</c:v>
                </c:pt>
                <c:pt idx="4">
                  <c:v>Q+1</c:v>
                </c:pt>
                <c:pt idx="5">
                  <c:v>Q+2</c:v>
                </c:pt>
                <c:pt idx="6">
                  <c:v>Q+3</c:v>
                </c:pt>
                <c:pt idx="7">
                  <c:v>Q+4</c:v>
                </c:pt>
                <c:pt idx="8">
                  <c:v>Q+5</c:v>
                </c:pt>
                <c:pt idx="9">
                  <c:v>Q+6</c:v>
                </c:pt>
                <c:pt idx="10">
                  <c:v>Q+7</c:v>
                </c:pt>
                <c:pt idx="11">
                  <c:v>Q+8</c:v>
                </c:pt>
              </c:strCache>
            </c:strRef>
          </c:cat>
          <c:val>
            <c:numRef>
              <c:f>Cross4pct!$CS$3:$CS$14</c:f>
              <c:numCache>
                <c:formatCode>0.0%</c:formatCode>
                <c:ptCount val="12"/>
                <c:pt idx="0">
                  <c:v>0.12176428571428573</c:v>
                </c:pt>
                <c:pt idx="1">
                  <c:v>9.2047619047619059E-2</c:v>
                </c:pt>
                <c:pt idx="2">
                  <c:v>-2.4894047619047628E-2</c:v>
                </c:pt>
                <c:pt idx="3">
                  <c:v>0.18515119047619047</c:v>
                </c:pt>
                <c:pt idx="4">
                  <c:v>0.22777948717948721</c:v>
                </c:pt>
                <c:pt idx="5">
                  <c:v>0.23018472222222222</c:v>
                </c:pt>
                <c:pt idx="6">
                  <c:v>0.13158472222222223</c:v>
                </c:pt>
                <c:pt idx="7">
                  <c:v>0.12128166666666665</c:v>
                </c:pt>
                <c:pt idx="8">
                  <c:v>0.17379259259259261</c:v>
                </c:pt>
                <c:pt idx="9">
                  <c:v>7.8691666666666646E-2</c:v>
                </c:pt>
                <c:pt idx="10">
                  <c:v>0.32050000000000001</c:v>
                </c:pt>
                <c:pt idx="11">
                  <c:v>0.31673611111111116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CB-C84C-A8E8-9C751E5411C8}"/>
            </c:ext>
          </c:extLst>
        </c:ser>
        <c:ser>
          <c:idx val="1"/>
          <c:order val="1"/>
          <c:tx>
            <c:strRef>
              <c:f>Cross4pct!$CT$2</c:f>
              <c:strCache>
                <c:ptCount val="1"/>
                <c:pt idx="0">
                  <c:v>SMH</c:v>
                </c:pt>
              </c:strCache>
            </c:strRef>
          </c:tx>
          <c:spPr>
            <a:ln w="28575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rgbClr val="ED7D31"/>
              </a:solidFill>
              <a:ln w="9525">
                <a:solidFill>
                  <a:srgbClr val="ED7D31"/>
                </a:solidFill>
                <a:prstDash val="solid"/>
              </a:ln>
              <a:effectLst/>
            </c:spPr>
          </c:marker>
          <c:cat>
            <c:strRef>
              <c:f>Cross4pct!$CR$3:$CR$14</c:f>
              <c:strCache>
                <c:ptCount val="12"/>
                <c:pt idx="0">
                  <c:v>Q-4</c:v>
                </c:pt>
                <c:pt idx="1">
                  <c:v>Q-3</c:v>
                </c:pt>
                <c:pt idx="2">
                  <c:v>Q-2</c:v>
                </c:pt>
                <c:pt idx="3">
                  <c:v>Q-1</c:v>
                </c:pt>
                <c:pt idx="4">
                  <c:v>Q+1</c:v>
                </c:pt>
                <c:pt idx="5">
                  <c:v>Q+2</c:v>
                </c:pt>
                <c:pt idx="6">
                  <c:v>Q+3</c:v>
                </c:pt>
                <c:pt idx="7">
                  <c:v>Q+4</c:v>
                </c:pt>
                <c:pt idx="8">
                  <c:v>Q+5</c:v>
                </c:pt>
                <c:pt idx="9">
                  <c:v>Q+6</c:v>
                </c:pt>
                <c:pt idx="10">
                  <c:v>Q+7</c:v>
                </c:pt>
                <c:pt idx="11">
                  <c:v>Q+8</c:v>
                </c:pt>
              </c:strCache>
            </c:strRef>
          </c:cat>
          <c:val>
            <c:numRef>
              <c:f>Cross4pct!$CT$3:$CT$14</c:f>
              <c:numCache>
                <c:formatCode>0.0%</c:formatCode>
                <c:ptCount val="12"/>
                <c:pt idx="0">
                  <c:v>9.6860000000000002E-2</c:v>
                </c:pt>
                <c:pt idx="1">
                  <c:v>0.10419333333333335</c:v>
                </c:pt>
                <c:pt idx="2">
                  <c:v>0.12563333333333335</c:v>
                </c:pt>
                <c:pt idx="3">
                  <c:v>0.14912666666666669</c:v>
                </c:pt>
                <c:pt idx="4">
                  <c:v>0.13166923076923079</c:v>
                </c:pt>
                <c:pt idx="5">
                  <c:v>9.3266666666666678E-2</c:v>
                </c:pt>
                <c:pt idx="6">
                  <c:v>0.11575833333333335</c:v>
                </c:pt>
                <c:pt idx="7">
                  <c:v>0.11701000000000002</c:v>
                </c:pt>
                <c:pt idx="8">
                  <c:v>0.11760000000000002</c:v>
                </c:pt>
                <c:pt idx="9">
                  <c:v>0.14083750000000003</c:v>
                </c:pt>
                <c:pt idx="10">
                  <c:v>0.19741250000000002</c:v>
                </c:pt>
                <c:pt idx="11">
                  <c:v>0.19520000000000004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CB-C84C-A8E8-9C751E5411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1321232"/>
        <c:axId val="1961466544"/>
      </c:lineChart>
      <c:catAx>
        <c:axId val="19613212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Quarter Relative to Filing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466544"/>
        <c:crosses val="autoZero"/>
        <c:auto val="0"/>
        <c:lblAlgn val="ctr"/>
        <c:lblOffset val="100"/>
        <c:noMultiLvlLbl val="0"/>
      </c:catAx>
      <c:valAx>
        <c:axId val="1961466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Return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321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rgbClr val="BFBFBF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/>
                <a:ea typeface="Aptos Narrow"/>
                <a:cs typeface="Aptos Narrow"/>
              </a:defRPr>
            </a:pPr>
            <a:r>
              <a:rPr lang="en-US"/>
              <a:t>After Jan 1, 2023 — Average Cumulative Return from Q+1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Cross4pct!$CW$2</c:f>
              <c:strCache>
                <c:ptCount val="1"/>
                <c:pt idx="0">
                  <c:v>Basket</c:v>
                </c:pt>
              </c:strCache>
            </c:strRef>
          </c:tx>
          <c:spPr>
            <a:ln w="28575" cap="rnd">
              <a:solidFill>
                <a:srgbClr val="4472C4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rgbClr val="4472C4"/>
              </a:solidFill>
              <a:ln w="9525">
                <a:solidFill>
                  <a:srgbClr val="4472C4"/>
                </a:solidFill>
                <a:prstDash val="solid"/>
              </a:ln>
              <a:effectLst/>
            </c:spPr>
          </c:marker>
          <c:cat>
            <c:strRef>
              <c:f>Cross4pct!$CV$3:$CV$10</c:f>
              <c:strCache>
                <c:ptCount val="8"/>
                <c:pt idx="0">
                  <c:v>Q+1</c:v>
                </c:pt>
                <c:pt idx="1">
                  <c:v>Q+2</c:v>
                </c:pt>
                <c:pt idx="2">
                  <c:v>Q+3</c:v>
                </c:pt>
                <c:pt idx="3">
                  <c:v>Q+4</c:v>
                </c:pt>
                <c:pt idx="4">
                  <c:v>Q+5</c:v>
                </c:pt>
                <c:pt idx="5">
                  <c:v>Q+6</c:v>
                </c:pt>
                <c:pt idx="6">
                  <c:v>Q+7</c:v>
                </c:pt>
                <c:pt idx="7">
                  <c:v>Q+8</c:v>
                </c:pt>
              </c:strCache>
            </c:strRef>
          </c:cat>
          <c:val>
            <c:numRef>
              <c:f>Cross4pct!$CW$3:$CW$10</c:f>
              <c:numCache>
                <c:formatCode>0.0%</c:formatCode>
                <c:ptCount val="8"/>
                <c:pt idx="0">
                  <c:v>0.22777948717948721</c:v>
                </c:pt>
                <c:pt idx="1">
                  <c:v>0.50140115546296282</c:v>
                </c:pt>
                <c:pt idx="2">
                  <c:v>0.76617862371874368</c:v>
                </c:pt>
                <c:pt idx="3">
                  <c:v>0.45503081093992409</c:v>
                </c:pt>
                <c:pt idx="4">
                  <c:v>0.67716111715462679</c:v>
                </c:pt>
                <c:pt idx="5">
                  <c:v>0.75755817926063318</c:v>
                </c:pt>
                <c:pt idx="6">
                  <c:v>1.2933462038187789</c:v>
                </c:pt>
                <c:pt idx="7">
                  <c:v>2.1666006062289038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FA-6749-85EF-26362E5325B7}"/>
            </c:ext>
          </c:extLst>
        </c:ser>
        <c:ser>
          <c:idx val="1"/>
          <c:order val="1"/>
          <c:tx>
            <c:strRef>
              <c:f>Cross4pct!$CX$2</c:f>
              <c:strCache>
                <c:ptCount val="1"/>
                <c:pt idx="0">
                  <c:v>SMH</c:v>
                </c:pt>
              </c:strCache>
            </c:strRef>
          </c:tx>
          <c:spPr>
            <a:ln w="28575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rgbClr val="ED7D31"/>
              </a:solidFill>
              <a:ln w="9525">
                <a:solidFill>
                  <a:srgbClr val="ED7D31"/>
                </a:solidFill>
                <a:prstDash val="solid"/>
              </a:ln>
              <a:effectLst/>
            </c:spPr>
          </c:marker>
          <c:cat>
            <c:strRef>
              <c:f>Cross4pct!$CV$3:$CV$10</c:f>
              <c:strCache>
                <c:ptCount val="8"/>
                <c:pt idx="0">
                  <c:v>Q+1</c:v>
                </c:pt>
                <c:pt idx="1">
                  <c:v>Q+2</c:v>
                </c:pt>
                <c:pt idx="2">
                  <c:v>Q+3</c:v>
                </c:pt>
                <c:pt idx="3">
                  <c:v>Q+4</c:v>
                </c:pt>
                <c:pt idx="4">
                  <c:v>Q+5</c:v>
                </c:pt>
                <c:pt idx="5">
                  <c:v>Q+6</c:v>
                </c:pt>
                <c:pt idx="6">
                  <c:v>Q+7</c:v>
                </c:pt>
                <c:pt idx="7">
                  <c:v>Q+8</c:v>
                </c:pt>
              </c:strCache>
            </c:strRef>
          </c:cat>
          <c:val>
            <c:numRef>
              <c:f>Cross4pct!$CX$3:$CX$10</c:f>
              <c:numCache>
                <c:formatCode>0.0%</c:formatCode>
                <c:ptCount val="8"/>
                <c:pt idx="0">
                  <c:v>0.13166923076923079</c:v>
                </c:pt>
                <c:pt idx="1">
                  <c:v>0.21923036166666665</c:v>
                </c:pt>
                <c:pt idx="2">
                  <c:v>0.37142579060116671</c:v>
                </c:pt>
                <c:pt idx="3">
                  <c:v>0.4434072965393015</c:v>
                </c:pt>
                <c:pt idx="4">
                  <c:v>0.51161696211762098</c:v>
                </c:pt>
                <c:pt idx="5">
                  <c:v>0.61858533040768759</c:v>
                </c:pt>
                <c:pt idx="6">
                  <c:v>0.93639004519070101</c:v>
                </c:pt>
                <c:pt idx="7">
                  <c:v>1.1477774119936939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FA-6749-85EF-26362E5325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3468352"/>
        <c:axId val="1943470064"/>
      </c:lineChart>
      <c:catAx>
        <c:axId val="194346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Quarter Relative to Filing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3470064"/>
        <c:crosses val="autoZero"/>
        <c:auto val="0"/>
        <c:lblAlgn val="ctr"/>
        <c:lblOffset val="100"/>
        <c:noMultiLvlLbl val="0"/>
      </c:catAx>
      <c:valAx>
        <c:axId val="1943470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Return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3468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rgbClr val="BFBFBF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/>
                <a:ea typeface="Aptos Narrow"/>
                <a:cs typeface="Aptos Narrow"/>
              </a:defRPr>
            </a:pPr>
            <a:r>
              <a:rPr lang="en-US"/>
              <a:t>Average Return by Quarter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RampBasket!$BX$2</c:f>
              <c:strCache>
                <c:ptCount val="1"/>
                <c:pt idx="0">
                  <c:v>CW</c:v>
                </c:pt>
              </c:strCache>
            </c:strRef>
          </c:tx>
          <c:spPr>
            <a:ln w="28575" cap="rnd">
              <a:solidFill>
                <a:srgbClr val="4472C4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rgbClr val="4472C4"/>
              </a:solidFill>
              <a:ln w="9525">
                <a:solidFill>
                  <a:srgbClr val="4472C4"/>
                </a:solidFill>
                <a:prstDash val="solid"/>
              </a:ln>
              <a:effectLst/>
            </c:spPr>
          </c:marker>
          <c:cat>
            <c:strRef>
              <c:f>RampBasket!$BW$3:$BW$14</c:f>
              <c:strCache>
                <c:ptCount val="12"/>
                <c:pt idx="0">
                  <c:v>Q-4</c:v>
                </c:pt>
                <c:pt idx="1">
                  <c:v>Q-3</c:v>
                </c:pt>
                <c:pt idx="2">
                  <c:v>Q-2</c:v>
                </c:pt>
                <c:pt idx="3">
                  <c:v>Q-1</c:v>
                </c:pt>
                <c:pt idx="4">
                  <c:v>Q+1</c:v>
                </c:pt>
                <c:pt idx="5">
                  <c:v>Q+2</c:v>
                </c:pt>
                <c:pt idx="6">
                  <c:v>Q+3</c:v>
                </c:pt>
                <c:pt idx="7">
                  <c:v>Q+4</c:v>
                </c:pt>
                <c:pt idx="8">
                  <c:v>Q+5</c:v>
                </c:pt>
                <c:pt idx="9">
                  <c:v>Q+6</c:v>
                </c:pt>
                <c:pt idx="10">
                  <c:v>Q+7</c:v>
                </c:pt>
                <c:pt idx="11">
                  <c:v>Q+8</c:v>
                </c:pt>
              </c:strCache>
            </c:strRef>
          </c:cat>
          <c:val>
            <c:numRef>
              <c:f>RampBasket!$BX$3:$BX$14</c:f>
              <c:numCache>
                <c:formatCode>0.0%</c:formatCode>
                <c:ptCount val="12"/>
                <c:pt idx="0">
                  <c:v>6.608890189561506E-2</c:v>
                </c:pt>
                <c:pt idx="1">
                  <c:v>0.10303418163358437</c:v>
                </c:pt>
                <c:pt idx="2">
                  <c:v>0.10289347814009438</c:v>
                </c:pt>
                <c:pt idx="3">
                  <c:v>5.4642131567176025E-2</c:v>
                </c:pt>
                <c:pt idx="4">
                  <c:v>0.16861356461014929</c:v>
                </c:pt>
                <c:pt idx="5">
                  <c:v>0.16566481083080442</c:v>
                </c:pt>
                <c:pt idx="6">
                  <c:v>7.5963355712706541E-4</c:v>
                </c:pt>
                <c:pt idx="7">
                  <c:v>0.10576421393453324</c:v>
                </c:pt>
                <c:pt idx="8">
                  <c:v>0.1970496102176294</c:v>
                </c:pt>
                <c:pt idx="9">
                  <c:v>5.8278658929095478E-2</c:v>
                </c:pt>
                <c:pt idx="10">
                  <c:v>0.15872799174472635</c:v>
                </c:pt>
                <c:pt idx="11">
                  <c:v>0.20640554840976666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BA-4E46-AD84-BDAE73471CD8}"/>
            </c:ext>
          </c:extLst>
        </c:ser>
        <c:ser>
          <c:idx val="1"/>
          <c:order val="1"/>
          <c:tx>
            <c:strRef>
              <c:f>RampBasket!$BY$2</c:f>
              <c:strCache>
                <c:ptCount val="1"/>
                <c:pt idx="0">
                  <c:v>SMH</c:v>
                </c:pt>
              </c:strCache>
            </c:strRef>
          </c:tx>
          <c:spPr>
            <a:ln w="28575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rgbClr val="ED7D31"/>
              </a:solidFill>
              <a:ln w="9525">
                <a:solidFill>
                  <a:srgbClr val="ED7D31"/>
                </a:solidFill>
                <a:prstDash val="solid"/>
              </a:ln>
              <a:effectLst/>
            </c:spPr>
          </c:marker>
          <c:cat>
            <c:strRef>
              <c:f>RampBasket!$BW$3:$BW$14</c:f>
              <c:strCache>
                <c:ptCount val="12"/>
                <c:pt idx="0">
                  <c:v>Q-4</c:v>
                </c:pt>
                <c:pt idx="1">
                  <c:v>Q-3</c:v>
                </c:pt>
                <c:pt idx="2">
                  <c:v>Q-2</c:v>
                </c:pt>
                <c:pt idx="3">
                  <c:v>Q-1</c:v>
                </c:pt>
                <c:pt idx="4">
                  <c:v>Q+1</c:v>
                </c:pt>
                <c:pt idx="5">
                  <c:v>Q+2</c:v>
                </c:pt>
                <c:pt idx="6">
                  <c:v>Q+3</c:v>
                </c:pt>
                <c:pt idx="7">
                  <c:v>Q+4</c:v>
                </c:pt>
                <c:pt idx="8">
                  <c:v>Q+5</c:v>
                </c:pt>
                <c:pt idx="9">
                  <c:v>Q+6</c:v>
                </c:pt>
                <c:pt idx="10">
                  <c:v>Q+7</c:v>
                </c:pt>
                <c:pt idx="11">
                  <c:v>Q+8</c:v>
                </c:pt>
              </c:strCache>
            </c:strRef>
          </c:cat>
          <c:val>
            <c:numRef>
              <c:f>RampBasket!$BY$3:$BY$14</c:f>
              <c:numCache>
                <c:formatCode>0.0%</c:formatCode>
                <c:ptCount val="12"/>
                <c:pt idx="0">
                  <c:v>7.6311111111111107E-2</c:v>
                </c:pt>
                <c:pt idx="1">
                  <c:v>7.7900000000000011E-2</c:v>
                </c:pt>
                <c:pt idx="2">
                  <c:v>0.13521111111111112</c:v>
                </c:pt>
                <c:pt idx="3">
                  <c:v>7.648000000000002E-2</c:v>
                </c:pt>
                <c:pt idx="4">
                  <c:v>9.0333333333333321E-2</c:v>
                </c:pt>
                <c:pt idx="5">
                  <c:v>0.11828888888888889</c:v>
                </c:pt>
                <c:pt idx="6">
                  <c:v>2.2766666666666668E-2</c:v>
                </c:pt>
                <c:pt idx="7">
                  <c:v>0.11236666666666667</c:v>
                </c:pt>
                <c:pt idx="8">
                  <c:v>0.12911249999999999</c:v>
                </c:pt>
                <c:pt idx="9">
                  <c:v>5.4387499999999998E-2</c:v>
                </c:pt>
                <c:pt idx="10">
                  <c:v>0.11357500000000001</c:v>
                </c:pt>
                <c:pt idx="11">
                  <c:v>0.1285857142857143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BA-4E46-AD84-BDAE73471C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1969648"/>
        <c:axId val="241645072"/>
      </c:lineChart>
      <c:catAx>
        <c:axId val="2719696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Quarter Relative to Filing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241645072"/>
        <c:crosses val="autoZero"/>
        <c:auto val="0"/>
        <c:lblAlgn val="ctr"/>
        <c:lblOffset val="100"/>
        <c:noMultiLvlLbl val="0"/>
      </c:catAx>
      <c:valAx>
        <c:axId val="24164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Return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271969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rgbClr val="BFBFBF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/>
                <a:ea typeface="Aptos Narrow"/>
                <a:cs typeface="Aptos Narrow"/>
              </a:defRPr>
            </a:pPr>
            <a:r>
              <a:rPr lang="en-US"/>
              <a:t>Average Cumulative Return from Q+1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RampBasket!$CB$2</c:f>
              <c:strCache>
                <c:ptCount val="1"/>
                <c:pt idx="0">
                  <c:v>CW</c:v>
                </c:pt>
              </c:strCache>
            </c:strRef>
          </c:tx>
          <c:spPr>
            <a:ln w="28575" cap="rnd">
              <a:solidFill>
                <a:srgbClr val="4472C4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rgbClr val="4472C4"/>
              </a:solidFill>
              <a:ln w="9525">
                <a:solidFill>
                  <a:srgbClr val="4472C4"/>
                </a:solidFill>
                <a:prstDash val="solid"/>
              </a:ln>
              <a:effectLst/>
            </c:spPr>
          </c:marker>
          <c:cat>
            <c:strRef>
              <c:f>RampBasket!$CA$3:$CA$10</c:f>
              <c:strCache>
                <c:ptCount val="8"/>
                <c:pt idx="0">
                  <c:v>Q+1</c:v>
                </c:pt>
                <c:pt idx="1">
                  <c:v>Q+2</c:v>
                </c:pt>
                <c:pt idx="2">
                  <c:v>Q+3</c:v>
                </c:pt>
                <c:pt idx="3">
                  <c:v>Q+4</c:v>
                </c:pt>
                <c:pt idx="4">
                  <c:v>Q+5</c:v>
                </c:pt>
                <c:pt idx="5">
                  <c:v>Q+6</c:v>
                </c:pt>
                <c:pt idx="6">
                  <c:v>Q+7</c:v>
                </c:pt>
                <c:pt idx="7">
                  <c:v>Q+8</c:v>
                </c:pt>
              </c:strCache>
            </c:strRef>
          </c:cat>
          <c:val>
            <c:numRef>
              <c:f>RampBasket!$CB$3:$CB$10</c:f>
              <c:numCache>
                <c:formatCode>0.0%</c:formatCode>
                <c:ptCount val="8"/>
                <c:pt idx="0">
                  <c:v>0.16861356461014929</c:v>
                </c:pt>
                <c:pt idx="1">
                  <c:v>0.36067881597909351</c:v>
                </c:pt>
                <c:pt idx="2">
                  <c:v>0.35579306404408112</c:v>
                </c:pt>
                <c:pt idx="3">
                  <c:v>0.53941119856263364</c:v>
                </c:pt>
                <c:pt idx="4">
                  <c:v>0.64447865694356654</c:v>
                </c:pt>
                <c:pt idx="5">
                  <c:v>0.74821011029907747</c:v>
                </c:pt>
                <c:pt idx="6">
                  <c:v>1.1076344874455539</c:v>
                </c:pt>
                <c:pt idx="7">
                  <c:v>1.0564697106865271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FC-8145-9F7F-EFA5704681A7}"/>
            </c:ext>
          </c:extLst>
        </c:ser>
        <c:ser>
          <c:idx val="1"/>
          <c:order val="1"/>
          <c:tx>
            <c:strRef>
              <c:f>RampBasket!$CC$2</c:f>
              <c:strCache>
                <c:ptCount val="1"/>
                <c:pt idx="0">
                  <c:v>SMH</c:v>
                </c:pt>
              </c:strCache>
            </c:strRef>
          </c:tx>
          <c:spPr>
            <a:ln w="28575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rgbClr val="ED7D31"/>
              </a:solidFill>
              <a:ln w="9525">
                <a:solidFill>
                  <a:srgbClr val="ED7D31"/>
                </a:solidFill>
                <a:prstDash val="solid"/>
              </a:ln>
              <a:effectLst/>
            </c:spPr>
          </c:marker>
          <c:cat>
            <c:strRef>
              <c:f>RampBasket!$CA$3:$CA$10</c:f>
              <c:strCache>
                <c:ptCount val="8"/>
                <c:pt idx="0">
                  <c:v>Q+1</c:v>
                </c:pt>
                <c:pt idx="1">
                  <c:v>Q+2</c:v>
                </c:pt>
                <c:pt idx="2">
                  <c:v>Q+3</c:v>
                </c:pt>
                <c:pt idx="3">
                  <c:v>Q+4</c:v>
                </c:pt>
                <c:pt idx="4">
                  <c:v>Q+5</c:v>
                </c:pt>
                <c:pt idx="5">
                  <c:v>Q+6</c:v>
                </c:pt>
                <c:pt idx="6">
                  <c:v>Q+7</c:v>
                </c:pt>
                <c:pt idx="7">
                  <c:v>Q+8</c:v>
                </c:pt>
              </c:strCache>
            </c:strRef>
          </c:cat>
          <c:val>
            <c:numRef>
              <c:f>RampBasket!$CC$3:$CC$10</c:f>
              <c:numCache>
                <c:formatCode>0.0%</c:formatCode>
                <c:ptCount val="8"/>
                <c:pt idx="0">
                  <c:v>9.0333333333333321E-2</c:v>
                </c:pt>
                <c:pt idx="1">
                  <c:v>0.22196861000000004</c:v>
                </c:pt>
                <c:pt idx="2">
                  <c:v>0.25507913204766669</c:v>
                </c:pt>
                <c:pt idx="3">
                  <c:v>0.40527250809102172</c:v>
                </c:pt>
                <c:pt idx="4">
                  <c:v>0.47879227219369141</c:v>
                </c:pt>
                <c:pt idx="5">
                  <c:v>0.55369786862910075</c:v>
                </c:pt>
                <c:pt idx="6">
                  <c:v>0.72097503562859933</c:v>
                </c:pt>
                <c:pt idx="7">
                  <c:v>0.84224807061270945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FC-8145-9F7F-EFA570468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8775871"/>
        <c:axId val="127843663"/>
      </c:lineChart>
      <c:catAx>
        <c:axId val="15887758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Quarter Relative to Filing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27843663"/>
        <c:crosses val="autoZero"/>
        <c:auto val="0"/>
        <c:lblAlgn val="ctr"/>
        <c:lblOffset val="100"/>
        <c:noMultiLvlLbl val="0"/>
      </c:catAx>
      <c:valAx>
        <c:axId val="127843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Return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588775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rgbClr val="BFBFBF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26</xdr:row>
      <xdr:rowOff>0</xdr:rowOff>
    </xdr:from>
    <xdr:to>
      <xdr:col>10</xdr:col>
      <xdr:colOff>0</xdr:colOff>
      <xdr:row>43</xdr:row>
      <xdr:rowOff>0</xdr:rowOff>
    </xdr:to>
    <xdr:graphicFrame macro="">
      <xdr:nvGraphicFramePr>
        <xdr:cNvPr id="2" name="Cross4AllQuarterly">
          <a:extLst>
            <a:ext uri="{FF2B5EF4-FFF2-40B4-BE49-F238E27FC236}">
              <a16:creationId xmlns:a16="http://schemas.microsoft.com/office/drawing/2014/main" id="{62A8D794-BE4B-190C-1827-0FBCB37F3C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26</xdr:row>
      <xdr:rowOff>0</xdr:rowOff>
    </xdr:from>
    <xdr:to>
      <xdr:col>20</xdr:col>
      <xdr:colOff>0</xdr:colOff>
      <xdr:row>43</xdr:row>
      <xdr:rowOff>0</xdr:rowOff>
    </xdr:to>
    <xdr:graphicFrame macro="">
      <xdr:nvGraphicFramePr>
        <xdr:cNvPr id="3" name="Cross4AllCumulative">
          <a:extLst>
            <a:ext uri="{FF2B5EF4-FFF2-40B4-BE49-F238E27FC236}">
              <a16:creationId xmlns:a16="http://schemas.microsoft.com/office/drawing/2014/main" id="{DBCF5129-043F-ABEE-B0CA-2DDEE504AA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44</xdr:row>
      <xdr:rowOff>0</xdr:rowOff>
    </xdr:from>
    <xdr:to>
      <xdr:col>10</xdr:col>
      <xdr:colOff>0</xdr:colOff>
      <xdr:row>61</xdr:row>
      <xdr:rowOff>0</xdr:rowOff>
    </xdr:to>
    <xdr:graphicFrame macro="">
      <xdr:nvGraphicFramePr>
        <xdr:cNvPr id="4" name="Cross4PostQuarterly">
          <a:extLst>
            <a:ext uri="{FF2B5EF4-FFF2-40B4-BE49-F238E27FC236}">
              <a16:creationId xmlns:a16="http://schemas.microsoft.com/office/drawing/2014/main" id="{2371F0F5-D651-9F9F-B0D9-6F38B264FA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44</xdr:row>
      <xdr:rowOff>0</xdr:rowOff>
    </xdr:from>
    <xdr:to>
      <xdr:col>20</xdr:col>
      <xdr:colOff>0</xdr:colOff>
      <xdr:row>61</xdr:row>
      <xdr:rowOff>0</xdr:rowOff>
    </xdr:to>
    <xdr:graphicFrame macro="">
      <xdr:nvGraphicFramePr>
        <xdr:cNvPr id="5" name="Cross4PostCumulative">
          <a:extLst>
            <a:ext uri="{FF2B5EF4-FFF2-40B4-BE49-F238E27FC236}">
              <a16:creationId xmlns:a16="http://schemas.microsoft.com/office/drawing/2014/main" id="{ED060405-A3DE-C424-FDDC-387B6A3F83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914399</xdr:colOff>
      <xdr:row>16</xdr:row>
      <xdr:rowOff>0</xdr:rowOff>
    </xdr:from>
    <xdr:to>
      <xdr:col>9</xdr:col>
      <xdr:colOff>761999</xdr:colOff>
      <xdr:row>33</xdr:row>
      <xdr:rowOff>0</xdr:rowOff>
    </xdr:to>
    <xdr:graphicFrame macro="">
      <xdr:nvGraphicFramePr>
        <xdr:cNvPr id="2" name="AverageReturnChart">
          <a:extLst>
            <a:ext uri="{FF2B5EF4-FFF2-40B4-BE49-F238E27FC236}">
              <a16:creationId xmlns:a16="http://schemas.microsoft.com/office/drawing/2014/main" id="{AA220DED-0B98-D23F-C9E7-A136463D0E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761999</xdr:colOff>
      <xdr:row>16</xdr:row>
      <xdr:rowOff>0</xdr:rowOff>
    </xdr:from>
    <xdr:to>
      <xdr:col>19</xdr:col>
      <xdr:colOff>761999</xdr:colOff>
      <xdr:row>33</xdr:row>
      <xdr:rowOff>0</xdr:rowOff>
    </xdr:to>
    <xdr:graphicFrame macro="">
      <xdr:nvGraphicFramePr>
        <xdr:cNvPr id="3" name="AverageCumulativeReturnChart">
          <a:extLst>
            <a:ext uri="{FF2B5EF4-FFF2-40B4-BE49-F238E27FC236}">
              <a16:creationId xmlns:a16="http://schemas.microsoft.com/office/drawing/2014/main" id="{91278D13-EFBE-19E8-F768-96E0655D2D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5F6C773-E3A9-3743-AFE7-248259EC9129}">
  <we:reference id="wa200009152" version="1.0.0.4" store="en-US" storeType="OMEX"/>
  <we:alternateReferences>
    <we:reference id="WA200009152" version="1.0.0.4" store="" storeType="OMEX"/>
  </we:alternateReferences>
  <we:properties/>
  <we:bindings/>
  <we:snapshot xmlns:r="http://schemas.openxmlformats.org/officeDocument/2006/relationships"/>
</we:webextension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"/>
  <sheetViews>
    <sheetView workbookViewId="0">
      <pane xSplit="3" ySplit="1" topLeftCell="D2" activePane="bottomRight" state="frozen"/>
      <selection pane="topRight"/>
      <selection pane="bottomLeft"/>
      <selection pane="bottomRight" activeCell="G11" sqref="G11"/>
    </sheetView>
  </sheetViews>
  <sheetFormatPr baseColWidth="10" defaultColWidth="8.83203125" defaultRowHeight="15" x14ac:dyDescent="0.2"/>
  <cols>
    <col min="1" max="1" width="12" customWidth="1"/>
    <col min="2" max="3" width="16" customWidth="1"/>
    <col min="4" max="15" width="10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2">
        <v>44057</v>
      </c>
      <c r="B2" s="3">
        <v>8.5099999999999995E-2</v>
      </c>
      <c r="C2" s="4">
        <v>0.1653</v>
      </c>
      <c r="G2" s="5">
        <v>0.3009</v>
      </c>
      <c r="H2" s="5">
        <v>0.18190000000000001</v>
      </c>
      <c r="I2" s="5">
        <v>0.27850000000000003</v>
      </c>
      <c r="J2" s="6">
        <v>-2.8500000000000001E-2</v>
      </c>
      <c r="K2" s="5">
        <v>5.0199999999999988E-2</v>
      </c>
      <c r="L2" s="5">
        <v>0.1507</v>
      </c>
      <c r="M2" s="6">
        <v>-0.1138</v>
      </c>
      <c r="N2" s="6">
        <v>-0.13789999999999999</v>
      </c>
      <c r="O2" s="5">
        <v>7.8600000000000003E-2</v>
      </c>
    </row>
    <row r="3" spans="1:15" x14ac:dyDescent="0.2">
      <c r="A3" s="2">
        <v>44348</v>
      </c>
      <c r="B3" s="3">
        <v>5.8200000000000002E-2</v>
      </c>
      <c r="C3" s="4">
        <v>7.5700000000000003E-2</v>
      </c>
      <c r="D3" s="5">
        <v>0.3009</v>
      </c>
      <c r="E3" s="5">
        <v>0.18190000000000001</v>
      </c>
      <c r="F3" s="5">
        <v>0.27850000000000003</v>
      </c>
      <c r="G3" s="6">
        <v>-2.8500000000000001E-2</v>
      </c>
      <c r="H3" s="5">
        <v>5.0199999999999988E-2</v>
      </c>
      <c r="I3" s="5">
        <v>0.1507</v>
      </c>
      <c r="J3" s="6">
        <v>-0.1138</v>
      </c>
      <c r="K3" s="6">
        <v>-0.13789999999999999</v>
      </c>
      <c r="L3" s="5">
        <v>7.8600000000000003E-2</v>
      </c>
      <c r="M3" s="6">
        <v>-0.11269999999999999</v>
      </c>
      <c r="N3" s="5">
        <v>0.17</v>
      </c>
      <c r="O3" s="6">
        <v>-3.0000000000000001E-3</v>
      </c>
    </row>
    <row r="4" spans="1:15" x14ac:dyDescent="0.2">
      <c r="A4" s="2">
        <v>44606</v>
      </c>
      <c r="B4" s="3">
        <v>9.7100000000000006E-2</v>
      </c>
      <c r="C4" s="4">
        <v>0.10979999999999999</v>
      </c>
      <c r="D4" s="6">
        <v>-2.8500000000000001E-2</v>
      </c>
      <c r="E4" s="5">
        <v>5.0199999999999988E-2</v>
      </c>
      <c r="F4" s="5">
        <v>0.1507</v>
      </c>
      <c r="G4" s="6">
        <v>-0.1138</v>
      </c>
      <c r="H4" s="6">
        <v>-0.13789999999999999</v>
      </c>
      <c r="I4" s="5">
        <v>7.8600000000000003E-2</v>
      </c>
      <c r="J4" s="6">
        <v>-0.11269999999999999</v>
      </c>
      <c r="K4" s="5">
        <v>0.17</v>
      </c>
      <c r="L4" s="6">
        <v>-3.0000000000000001E-3</v>
      </c>
      <c r="M4" s="5">
        <v>0.1946</v>
      </c>
      <c r="N4" s="5">
        <v>6.9199999999999998E-2</v>
      </c>
      <c r="O4" s="5">
        <v>0.26960000000000001</v>
      </c>
    </row>
    <row r="5" spans="1:15" x14ac:dyDescent="0.2">
      <c r="A5" s="2">
        <v>44879</v>
      </c>
      <c r="B5" s="3">
        <v>9.6099999999999991E-2</v>
      </c>
      <c r="C5" s="4">
        <v>9.6099999999999991E-2</v>
      </c>
      <c r="D5" s="6">
        <v>-0.1138</v>
      </c>
      <c r="E5" s="6">
        <v>-0.13789999999999999</v>
      </c>
      <c r="F5" s="5">
        <v>7.8600000000000003E-2</v>
      </c>
      <c r="G5" s="6">
        <v>-0.11269999999999999</v>
      </c>
      <c r="H5" s="5">
        <v>0.17</v>
      </c>
      <c r="I5" s="6">
        <v>-3.0000000000000001E-3</v>
      </c>
      <c r="J5" s="5">
        <v>0.1946</v>
      </c>
      <c r="K5" s="5">
        <v>6.9199999999999998E-2</v>
      </c>
      <c r="L5" s="5">
        <v>0.26960000000000001</v>
      </c>
      <c r="M5" s="5">
        <v>0.15049999999999999</v>
      </c>
      <c r="N5" s="5">
        <v>1.06E-2</v>
      </c>
      <c r="O5" s="5">
        <v>4.99E-2</v>
      </c>
    </row>
    <row r="6" spans="1:15" x14ac:dyDescent="0.2">
      <c r="A6" s="2">
        <v>44971</v>
      </c>
      <c r="B6" s="3">
        <v>0.1198</v>
      </c>
      <c r="C6" s="4">
        <v>0.21590000000000001</v>
      </c>
      <c r="D6" s="6">
        <v>-0.13789999999999999</v>
      </c>
      <c r="E6" s="5">
        <v>7.8600000000000003E-2</v>
      </c>
      <c r="F6" s="6">
        <v>-0.11269999999999999</v>
      </c>
      <c r="G6" s="5">
        <v>0.17</v>
      </c>
      <c r="H6" s="6">
        <v>-3.0000000000000001E-3</v>
      </c>
      <c r="I6" s="5">
        <v>0.1946</v>
      </c>
      <c r="J6" s="5">
        <v>6.9199999999999998E-2</v>
      </c>
      <c r="K6" s="5">
        <v>0.26960000000000001</v>
      </c>
      <c r="L6" s="5">
        <v>0.15049999999999999</v>
      </c>
      <c r="M6" s="5">
        <v>1.06E-2</v>
      </c>
      <c r="N6" s="5">
        <v>4.99E-2</v>
      </c>
      <c r="O6" s="5">
        <v>2.2200000000000001E-2</v>
      </c>
    </row>
    <row r="7" spans="1:15" x14ac:dyDescent="0.2">
      <c r="A7" s="2">
        <v>45244</v>
      </c>
      <c r="B7" s="3">
        <v>8.1199999999999994E-2</v>
      </c>
      <c r="C7" s="4">
        <v>0.24879999999999999</v>
      </c>
      <c r="D7" s="5">
        <v>0.17</v>
      </c>
      <c r="E7" s="6">
        <v>-3.0000000000000001E-3</v>
      </c>
      <c r="F7" s="5">
        <v>0.1946</v>
      </c>
      <c r="G7" s="5">
        <v>6.9199999999999998E-2</v>
      </c>
      <c r="H7" s="5">
        <v>0.26960000000000001</v>
      </c>
      <c r="I7" s="5">
        <v>0.15049999999999999</v>
      </c>
      <c r="J7" s="5">
        <v>1.06E-2</v>
      </c>
      <c r="K7" s="5">
        <v>4.99E-2</v>
      </c>
      <c r="L7" s="5">
        <v>2.2200000000000001E-2</v>
      </c>
      <c r="M7" s="6">
        <v>-2.1600000000000001E-2</v>
      </c>
      <c r="N7" s="5">
        <v>0.22170000000000001</v>
      </c>
      <c r="O7" s="5">
        <v>0.1426</v>
      </c>
    </row>
    <row r="8" spans="1:15" x14ac:dyDescent="0.2">
      <c r="A8" s="2">
        <v>45427</v>
      </c>
      <c r="B8" s="3">
        <v>0.1217</v>
      </c>
      <c r="C8" s="4">
        <v>0.30020000000000002</v>
      </c>
      <c r="D8" s="5">
        <v>0.1946</v>
      </c>
      <c r="E8" s="5">
        <v>6.9199999999999998E-2</v>
      </c>
      <c r="F8" s="5">
        <v>0.26960000000000001</v>
      </c>
      <c r="G8" s="5">
        <v>0.15049999999999999</v>
      </c>
      <c r="H8" s="5">
        <v>1.06E-2</v>
      </c>
      <c r="I8" s="5">
        <v>4.99E-2</v>
      </c>
      <c r="J8" s="5">
        <v>2.2200000000000001E-2</v>
      </c>
      <c r="K8" s="6">
        <v>-2.1600000000000001E-2</v>
      </c>
      <c r="L8" s="5">
        <v>0.22170000000000001</v>
      </c>
      <c r="M8" s="5">
        <v>0.1426</v>
      </c>
      <c r="N8" s="5">
        <v>0.18490000000000001</v>
      </c>
      <c r="O8" s="5">
        <v>0.34020000000000011</v>
      </c>
    </row>
    <row r="9" spans="1:15" x14ac:dyDescent="0.2">
      <c r="A9" s="2">
        <v>45518</v>
      </c>
      <c r="B9" s="3">
        <v>5.3800000000000001E-2</v>
      </c>
      <c r="C9" s="4">
        <v>0.35389999999999999</v>
      </c>
      <c r="D9" s="5">
        <v>6.9199999999999998E-2</v>
      </c>
      <c r="E9" s="5">
        <v>0.26960000000000001</v>
      </c>
      <c r="F9" s="5">
        <v>0.15049999999999999</v>
      </c>
      <c r="G9" s="5">
        <v>1.06E-2</v>
      </c>
      <c r="H9" s="5">
        <v>4.99E-2</v>
      </c>
      <c r="I9" s="5">
        <v>2.2200000000000001E-2</v>
      </c>
      <c r="J9" s="6">
        <v>-2.1600000000000001E-2</v>
      </c>
      <c r="K9" s="5">
        <v>0.22170000000000001</v>
      </c>
      <c r="L9" s="5">
        <v>0.1426</v>
      </c>
      <c r="M9" s="5">
        <v>0.18490000000000001</v>
      </c>
      <c r="N9" s="5">
        <v>0.34020000000000011</v>
      </c>
    </row>
    <row r="10" spans="1:15" x14ac:dyDescent="0.2">
      <c r="A10" s="2">
        <v>45792</v>
      </c>
      <c r="B10" s="3">
        <v>0.1358</v>
      </c>
      <c r="C10" s="4">
        <v>0.37840000000000001</v>
      </c>
      <c r="D10" s="5">
        <v>1.06E-2</v>
      </c>
      <c r="E10" s="5">
        <v>4.99E-2</v>
      </c>
      <c r="F10" s="5">
        <v>2.2200000000000001E-2</v>
      </c>
      <c r="G10" s="6">
        <v>-2.1600000000000001E-2</v>
      </c>
      <c r="H10" s="5">
        <v>0.22170000000000001</v>
      </c>
      <c r="I10" s="5">
        <v>0.1426</v>
      </c>
      <c r="J10" s="5">
        <v>0.18490000000000001</v>
      </c>
      <c r="K10" s="5">
        <v>0.34020000000000011</v>
      </c>
    </row>
    <row r="11" spans="1:15" x14ac:dyDescent="0.2">
      <c r="A11" s="2">
        <v>46160</v>
      </c>
      <c r="B11" s="3">
        <v>0.13719999999999999</v>
      </c>
      <c r="C11" s="4">
        <v>0.4264</v>
      </c>
      <c r="D11" s="5">
        <v>0.22170000000000001</v>
      </c>
      <c r="E11" s="5">
        <v>0.1426</v>
      </c>
      <c r="F11" s="5">
        <v>0.18490000000000001</v>
      </c>
      <c r="G11" s="5">
        <v>0.34020000000000011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X16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2" customWidth="1"/>
    <col min="2" max="3" width="26" customWidth="1"/>
    <col min="4" max="4" width="18" customWidth="1"/>
    <col min="5" max="76" width="10" customWidth="1"/>
  </cols>
  <sheetData>
    <row r="1" spans="1:76" x14ac:dyDescent="0.2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7</v>
      </c>
      <c r="H1" s="1" t="s">
        <v>20</v>
      </c>
      <c r="I1" s="1" t="s">
        <v>21</v>
      </c>
      <c r="J1" s="1" t="s">
        <v>8</v>
      </c>
      <c r="K1" s="1" t="s">
        <v>22</v>
      </c>
      <c r="L1" s="1" t="s">
        <v>23</v>
      </c>
      <c r="M1" s="1" t="s">
        <v>9</v>
      </c>
      <c r="N1" s="1" t="s">
        <v>24</v>
      </c>
      <c r="O1" s="1" t="s">
        <v>25</v>
      </c>
      <c r="P1" s="1" t="s">
        <v>10</v>
      </c>
      <c r="Q1" s="1" t="s">
        <v>26</v>
      </c>
      <c r="R1" s="1" t="s">
        <v>27</v>
      </c>
      <c r="S1" s="1" t="s">
        <v>11</v>
      </c>
      <c r="T1" s="1" t="s">
        <v>28</v>
      </c>
      <c r="U1" s="1" t="s">
        <v>29</v>
      </c>
      <c r="V1" s="1" t="s">
        <v>12</v>
      </c>
      <c r="W1" s="1" t="s">
        <v>30</v>
      </c>
      <c r="X1" s="1" t="s">
        <v>31</v>
      </c>
      <c r="Y1" s="1" t="s">
        <v>13</v>
      </c>
      <c r="Z1" s="1" t="s">
        <v>32</v>
      </c>
      <c r="AA1" s="1" t="s">
        <v>33</v>
      </c>
      <c r="AB1" s="1" t="s">
        <v>14</v>
      </c>
      <c r="AC1" s="1" t="s">
        <v>34</v>
      </c>
      <c r="AD1" s="1" t="s">
        <v>35</v>
      </c>
      <c r="AE1" s="1" t="s">
        <v>36</v>
      </c>
      <c r="AF1" s="1" t="s">
        <v>37</v>
      </c>
      <c r="AG1" s="1" t="s">
        <v>38</v>
      </c>
      <c r="AH1" s="1" t="s">
        <v>39</v>
      </c>
      <c r="AI1" s="1" t="s">
        <v>40</v>
      </c>
      <c r="AJ1" s="1" t="s">
        <v>41</v>
      </c>
      <c r="AK1" s="1" t="s">
        <v>42</v>
      </c>
      <c r="AL1" s="1" t="s">
        <v>43</v>
      </c>
      <c r="AM1" s="1" t="s">
        <v>44</v>
      </c>
      <c r="AN1" s="1" t="s">
        <v>45</v>
      </c>
      <c r="AO1" s="1" t="s">
        <v>46</v>
      </c>
      <c r="AP1" s="1" t="s">
        <v>47</v>
      </c>
      <c r="AQ1" s="1" t="s">
        <v>48</v>
      </c>
      <c r="AR1" s="1" t="s">
        <v>49</v>
      </c>
      <c r="AS1" s="1" t="s">
        <v>50</v>
      </c>
      <c r="AT1" s="1" t="s">
        <v>51</v>
      </c>
      <c r="AU1" s="1" t="s">
        <v>52</v>
      </c>
      <c r="AV1" s="1" t="s">
        <v>53</v>
      </c>
      <c r="AW1" s="1" t="s">
        <v>54</v>
      </c>
      <c r="AX1" s="1" t="s">
        <v>55</v>
      </c>
      <c r="AY1" s="1" t="s">
        <v>56</v>
      </c>
      <c r="AZ1" s="1" t="s">
        <v>57</v>
      </c>
      <c r="BA1" s="1" t="s">
        <v>58</v>
      </c>
      <c r="BB1" s="1" t="s">
        <v>59</v>
      </c>
      <c r="BC1" s="1" t="s">
        <v>60</v>
      </c>
      <c r="BD1" s="1" t="s">
        <v>61</v>
      </c>
      <c r="BE1" s="1" t="s">
        <v>62</v>
      </c>
      <c r="BF1" s="1" t="s">
        <v>63</v>
      </c>
      <c r="BG1" s="1" t="s">
        <v>64</v>
      </c>
      <c r="BH1" s="1" t="s">
        <v>65</v>
      </c>
      <c r="BI1" s="1" t="s">
        <v>66</v>
      </c>
      <c r="BJ1" s="1" t="s">
        <v>67</v>
      </c>
      <c r="BK1" s="1" t="s">
        <v>68</v>
      </c>
      <c r="BL1" s="1" t="s">
        <v>69</v>
      </c>
      <c r="BM1" s="1" t="s">
        <v>70</v>
      </c>
      <c r="BN1" s="1" t="s">
        <v>71</v>
      </c>
      <c r="BO1" s="1" t="s">
        <v>72</v>
      </c>
      <c r="BP1" s="1" t="s">
        <v>73</v>
      </c>
      <c r="BQ1" s="1" t="s">
        <v>74</v>
      </c>
      <c r="BR1" s="1" t="s">
        <v>75</v>
      </c>
      <c r="BS1" s="1" t="s">
        <v>76</v>
      </c>
      <c r="BT1" s="1" t="s">
        <v>77</v>
      </c>
      <c r="BU1" s="1" t="s">
        <v>78</v>
      </c>
      <c r="BV1" s="1" t="s">
        <v>79</v>
      </c>
      <c r="BW1" s="1" t="s">
        <v>80</v>
      </c>
      <c r="BX1" s="1" t="s">
        <v>81</v>
      </c>
    </row>
    <row r="2" spans="1:76" x14ac:dyDescent="0.2">
      <c r="A2" s="2">
        <v>43966</v>
      </c>
      <c r="B2" t="s">
        <v>82</v>
      </c>
      <c r="C2" t="s">
        <v>83</v>
      </c>
      <c r="D2" s="4">
        <v>4.1099999999999998E-2</v>
      </c>
      <c r="E2" s="4">
        <v>3.2587239594364478E-2</v>
      </c>
      <c r="F2" s="5">
        <v>0.36259999999999998</v>
      </c>
      <c r="G2" s="5">
        <v>0.3009</v>
      </c>
      <c r="H2" s="4">
        <v>1.5274220191206689E-2</v>
      </c>
      <c r="I2" s="5">
        <v>0.1691</v>
      </c>
      <c r="J2" s="5">
        <v>0.18190000000000001</v>
      </c>
      <c r="L2" s="5">
        <v>0.1346</v>
      </c>
      <c r="M2" s="5">
        <v>0.27850000000000003</v>
      </c>
      <c r="N2" s="4">
        <v>5.3618111547959327E-2</v>
      </c>
      <c r="O2" s="5">
        <v>6.13E-2</v>
      </c>
      <c r="P2" s="6">
        <v>-2.8500000000000001E-2</v>
      </c>
      <c r="Q2" s="4">
        <v>3.3591504173371908E-2</v>
      </c>
      <c r="R2" s="5">
        <v>0.22689999999999999</v>
      </c>
      <c r="S2" s="5">
        <v>5.0199999999999988E-2</v>
      </c>
      <c r="T2" s="4">
        <v>7.2732751298149728E-4</v>
      </c>
      <c r="U2" s="5">
        <v>0.50529999999999997</v>
      </c>
      <c r="V2" s="5">
        <v>0.1507</v>
      </c>
      <c r="X2" s="6">
        <v>-0.19170000000000001</v>
      </c>
      <c r="Y2" s="6">
        <v>-0.1138</v>
      </c>
      <c r="AA2" s="6">
        <v>-0.28849999999999998</v>
      </c>
      <c r="AB2" s="6">
        <v>-0.13789999999999999</v>
      </c>
      <c r="AD2" s="5">
        <v>0.1026</v>
      </c>
      <c r="AE2" s="5">
        <v>7.8600000000000003E-2</v>
      </c>
      <c r="AF2" s="4">
        <v>7.2015993445274831E-2</v>
      </c>
      <c r="AG2" s="6">
        <v>-0.14360000000000001</v>
      </c>
      <c r="AH2" s="6">
        <v>-0.11269999999999999</v>
      </c>
      <c r="AI2" s="4">
        <v>0.17611366548133389</v>
      </c>
      <c r="AJ2" s="5">
        <v>0.41010000000000002</v>
      </c>
      <c r="AK2" s="5">
        <v>0.17</v>
      </c>
      <c r="AL2" s="4">
        <v>0.1845353142315527</v>
      </c>
      <c r="AM2" s="5">
        <v>0.2606</v>
      </c>
      <c r="AN2" s="6">
        <v>-3.0000000000000001E-3</v>
      </c>
      <c r="AO2" s="4">
        <v>5.97387260425499E-2</v>
      </c>
      <c r="AP2" s="5">
        <v>0.51129999999999998</v>
      </c>
      <c r="AQ2" s="5">
        <v>0.1946</v>
      </c>
      <c r="AR2" s="4">
        <v>0.11503127978022901</v>
      </c>
      <c r="AS2" s="5">
        <v>0.13500000000000001</v>
      </c>
      <c r="AT2" s="5">
        <v>6.9199999999999998E-2</v>
      </c>
      <c r="AU2" s="4">
        <v>6.844211211829733E-2</v>
      </c>
      <c r="AV2" s="5">
        <v>0.48840000000000011</v>
      </c>
      <c r="AW2" s="5">
        <v>0.26960000000000001</v>
      </c>
      <c r="AX2" s="4">
        <v>0.109337027069424</v>
      </c>
      <c r="AY2" s="5">
        <v>0.28060000000000002</v>
      </c>
      <c r="AZ2" s="5">
        <v>0.15049999999999999</v>
      </c>
      <c r="BA2" s="4">
        <v>0.1128971115587665</v>
      </c>
      <c r="BB2" s="5">
        <v>0.24790000000000001</v>
      </c>
      <c r="BC2" s="5">
        <v>1.06E-2</v>
      </c>
      <c r="BD2" s="4">
        <v>8.6224359728782257E-2</v>
      </c>
      <c r="BE2" s="5">
        <v>0.24299999999999999</v>
      </c>
      <c r="BF2" s="5">
        <v>4.99E-2</v>
      </c>
      <c r="BG2" s="4">
        <v>7.381599107760152E-2</v>
      </c>
      <c r="BH2" s="6">
        <v>-5.3800000000000001E-2</v>
      </c>
      <c r="BI2" s="5">
        <v>2.2200000000000001E-2</v>
      </c>
      <c r="BJ2" s="4">
        <v>0.1013087542009377</v>
      </c>
      <c r="BK2" s="6">
        <v>-2.8899999999999999E-2</v>
      </c>
      <c r="BL2" s="6">
        <v>-2.1600000000000001E-2</v>
      </c>
      <c r="BM2" s="4">
        <v>9.8614570946374353E-2</v>
      </c>
      <c r="BN2" s="5">
        <v>0.35010000000000002</v>
      </c>
      <c r="BO2" s="5">
        <v>0.22170000000000001</v>
      </c>
      <c r="BP2" s="4">
        <v>3.1576561889427472E-2</v>
      </c>
      <c r="BQ2" s="5">
        <v>4.4800000000000013E-2</v>
      </c>
      <c r="BR2" s="5">
        <v>0.1426</v>
      </c>
      <c r="BS2" s="4">
        <v>4.3875282273435567E-2</v>
      </c>
      <c r="BT2" s="6">
        <v>-2.7300000000000001E-2</v>
      </c>
      <c r="BU2" s="5">
        <v>0.18490000000000001</v>
      </c>
      <c r="BV2" s="4">
        <v>4.3531750318210702E-2</v>
      </c>
      <c r="BW2" s="5">
        <v>0.20200000000000001</v>
      </c>
      <c r="BX2" s="5">
        <v>0.34020000000000011</v>
      </c>
    </row>
    <row r="3" spans="1:76" x14ac:dyDescent="0.2">
      <c r="A3" s="2">
        <v>43966</v>
      </c>
      <c r="B3" t="s">
        <v>84</v>
      </c>
      <c r="C3" t="s">
        <v>85</v>
      </c>
      <c r="D3" s="4">
        <v>0.11650000000000001</v>
      </c>
      <c r="E3" s="4">
        <v>0.1071641377985999</v>
      </c>
      <c r="F3" s="5">
        <v>0.2011</v>
      </c>
      <c r="G3" s="5">
        <v>0.3009</v>
      </c>
      <c r="I3" s="5">
        <v>8.6800000000000002E-2</v>
      </c>
      <c r="J3" s="5">
        <v>0.18190000000000001</v>
      </c>
      <c r="L3" s="5">
        <v>0.1169</v>
      </c>
      <c r="M3" s="5">
        <v>0.27850000000000003</v>
      </c>
      <c r="O3" s="5">
        <v>5.6349999999999997E-2</v>
      </c>
      <c r="P3" s="6">
        <v>-2.8500000000000001E-2</v>
      </c>
      <c r="Q3" s="4">
        <v>4.2641327233549318E-2</v>
      </c>
      <c r="R3" s="5">
        <v>9.3350000000000002E-2</v>
      </c>
      <c r="S3" s="5">
        <v>5.0199999999999988E-2</v>
      </c>
      <c r="T3" s="4">
        <v>4.5099737146670552E-2</v>
      </c>
      <c r="U3" s="5">
        <v>7.4050000000000005E-2</v>
      </c>
      <c r="V3" s="5">
        <v>0.1507</v>
      </c>
      <c r="W3" s="4">
        <v>0.14417818385208839</v>
      </c>
      <c r="X3" s="6">
        <v>-0.10595</v>
      </c>
      <c r="Y3" s="6">
        <v>-0.1138</v>
      </c>
      <c r="Z3" s="4">
        <v>0.1726323390956726</v>
      </c>
      <c r="AA3" s="6">
        <v>-0.22070000000000001</v>
      </c>
      <c r="AB3" s="6">
        <v>-0.13789999999999999</v>
      </c>
      <c r="AC3" s="4">
        <v>0.25025149045488282</v>
      </c>
      <c r="AD3" s="5">
        <v>0.1794</v>
      </c>
      <c r="AE3" s="5">
        <v>7.8600000000000003E-2</v>
      </c>
      <c r="AF3" s="4">
        <v>0.1163526824991888</v>
      </c>
      <c r="AG3" s="6">
        <v>-0.2641</v>
      </c>
      <c r="AH3" s="6">
        <v>-0.11269999999999999</v>
      </c>
      <c r="AI3" s="4">
        <v>7.8572175764065569E-2</v>
      </c>
      <c r="AJ3" s="5">
        <v>7.999999999999996E-4</v>
      </c>
      <c r="AK3" s="5">
        <v>0.17</v>
      </c>
      <c r="AL3" s="4">
        <v>6.4960070684596777E-2</v>
      </c>
      <c r="AM3" s="5">
        <v>0.17294999999999999</v>
      </c>
      <c r="AN3" s="6">
        <v>-3.0000000000000001E-3</v>
      </c>
      <c r="AO3" s="4">
        <v>3.494660146981024E-2</v>
      </c>
      <c r="AP3" s="5">
        <v>0.19564999999999999</v>
      </c>
      <c r="AQ3" s="5">
        <v>0.1946</v>
      </c>
      <c r="AR3" s="4">
        <v>0.15710922665643731</v>
      </c>
      <c r="AS3" s="5">
        <v>2.7300000000000001E-2</v>
      </c>
      <c r="AT3" s="5">
        <v>6.9199999999999998E-2</v>
      </c>
      <c r="AU3" s="4">
        <v>6.9290723624698111E-2</v>
      </c>
      <c r="AV3" s="5">
        <v>0.13245000000000001</v>
      </c>
      <c r="AW3" s="5">
        <v>0.26960000000000001</v>
      </c>
      <c r="AX3" s="4">
        <v>8.1587157426920229E-2</v>
      </c>
      <c r="AY3" s="5">
        <v>0.13494999999999999</v>
      </c>
      <c r="AZ3" s="5">
        <v>0.15049999999999999</v>
      </c>
      <c r="BA3" s="4">
        <v>9.5188409096776325E-2</v>
      </c>
      <c r="BB3" s="6">
        <v>-7.7349999999999988E-2</v>
      </c>
      <c r="BC3" s="5">
        <v>1.06E-2</v>
      </c>
      <c r="BD3" s="4">
        <v>5.3441323192805062E-2</v>
      </c>
      <c r="BE3" s="5">
        <v>0.16980000000000001</v>
      </c>
      <c r="BF3" s="5">
        <v>4.99E-2</v>
      </c>
      <c r="BG3" s="4">
        <v>8.0565263896286196E-2</v>
      </c>
      <c r="BH3" s="5">
        <v>6.8750000000000006E-2</v>
      </c>
      <c r="BI3" s="5">
        <v>2.2200000000000001E-2</v>
      </c>
      <c r="BJ3" s="4">
        <v>0.13851882434874491</v>
      </c>
      <c r="BK3" s="6">
        <v>-0.10829999999999999</v>
      </c>
      <c r="BL3" s="6">
        <v>-2.1600000000000001E-2</v>
      </c>
      <c r="BM3" s="4">
        <v>0.119801643542698</v>
      </c>
      <c r="BN3" s="5">
        <v>0.1825</v>
      </c>
      <c r="BO3" s="5">
        <v>0.22170000000000001</v>
      </c>
      <c r="BP3" s="4">
        <v>6.3679752352033478E-2</v>
      </c>
      <c r="BQ3" s="5">
        <v>0.18965000000000001</v>
      </c>
      <c r="BR3" s="5">
        <v>0.1426</v>
      </c>
      <c r="BS3" s="4">
        <v>4.9795920856262187E-2</v>
      </c>
      <c r="BT3" s="6">
        <v>-2.4750000000000001E-2</v>
      </c>
      <c r="BU3" s="5">
        <v>0.18490000000000001</v>
      </c>
      <c r="BV3" s="4">
        <v>7.1608588370053405E-2</v>
      </c>
      <c r="BW3" s="5">
        <v>0.31595000000000001</v>
      </c>
      <c r="BX3" s="5">
        <v>0.34020000000000011</v>
      </c>
    </row>
    <row r="4" spans="1:76" x14ac:dyDescent="0.2">
      <c r="A4" s="2">
        <v>43966</v>
      </c>
      <c r="B4" t="s">
        <v>86</v>
      </c>
      <c r="C4" t="s">
        <v>87</v>
      </c>
      <c r="D4" s="4">
        <v>3.9100000000000003E-2</v>
      </c>
      <c r="E4" s="4">
        <v>6.0149218747793769E-2</v>
      </c>
      <c r="F4" s="5">
        <v>2.6800000000000001E-2</v>
      </c>
      <c r="G4" s="5">
        <v>0.3009</v>
      </c>
      <c r="H4" s="4">
        <v>4.2238126170694203E-2</v>
      </c>
      <c r="I4" s="5">
        <v>0.35659999999999997</v>
      </c>
      <c r="J4" s="5">
        <v>0.18190000000000001</v>
      </c>
      <c r="K4" s="4">
        <v>1.7486235248291911E-2</v>
      </c>
      <c r="L4" s="5">
        <v>0.41839999999999999</v>
      </c>
      <c r="M4" s="5">
        <v>0.27850000000000003</v>
      </c>
      <c r="N4" s="4">
        <v>1.6832103283159081E-2</v>
      </c>
      <c r="O4" s="6">
        <v>-4.0899999999999999E-2</v>
      </c>
      <c r="P4" s="6">
        <v>-2.8500000000000001E-2</v>
      </c>
      <c r="Q4" s="4">
        <v>1.4969728830410889E-2</v>
      </c>
      <c r="R4" s="6">
        <v>-0.15709999999999999</v>
      </c>
      <c r="S4" s="5">
        <v>5.0199999999999988E-2</v>
      </c>
      <c r="T4" s="4">
        <v>1.193100495645363E-2</v>
      </c>
      <c r="U4" s="5">
        <v>8.4000000000000005E-2</v>
      </c>
      <c r="V4" s="5">
        <v>0.1507</v>
      </c>
      <c r="W4" s="4">
        <v>4.2777373300544638E-2</v>
      </c>
      <c r="X4" s="5">
        <v>0.1716</v>
      </c>
      <c r="Y4" s="6">
        <v>-0.1138</v>
      </c>
      <c r="Z4" s="4">
        <v>1.2185511339830139E-2</v>
      </c>
      <c r="AA4" s="6">
        <v>-0.2147</v>
      </c>
      <c r="AB4" s="6">
        <v>-0.13789999999999999</v>
      </c>
      <c r="AD4" s="6">
        <v>-8.0100000000000005E-2</v>
      </c>
      <c r="AE4" s="5">
        <v>7.8600000000000003E-2</v>
      </c>
      <c r="AG4" s="6">
        <v>-4.3099999999999999E-2</v>
      </c>
      <c r="AH4" s="6">
        <v>-0.11269999999999999</v>
      </c>
      <c r="AJ4" s="5">
        <v>6.9999999999999993E-3</v>
      </c>
      <c r="AK4" s="5">
        <v>0.17</v>
      </c>
      <c r="AL4" s="4">
        <v>1.7018554613246389E-2</v>
      </c>
      <c r="AM4" s="5">
        <v>4.3499999999999997E-2</v>
      </c>
      <c r="AN4" s="6">
        <v>-3.0000000000000001E-3</v>
      </c>
      <c r="AO4" s="4">
        <v>1.9830561513299611E-2</v>
      </c>
      <c r="AP4" s="5">
        <v>5.8299999999999998E-2</v>
      </c>
      <c r="AQ4" s="5">
        <v>0.1946</v>
      </c>
      <c r="AR4" s="4">
        <v>1.5687019013901161E-2</v>
      </c>
      <c r="AS4" s="5">
        <v>0.1321</v>
      </c>
      <c r="AT4" s="5">
        <v>6.9199999999999998E-2</v>
      </c>
      <c r="AV4" s="5">
        <v>6.1799999999999987E-2</v>
      </c>
      <c r="AW4" s="5">
        <v>0.26960000000000001</v>
      </c>
      <c r="AX4" s="4">
        <v>4.1179589733099729E-2</v>
      </c>
      <c r="AY4" s="5">
        <v>0.56340000000000001</v>
      </c>
      <c r="AZ4" s="5">
        <v>0.15049999999999999</v>
      </c>
      <c r="BA4" s="4">
        <v>3.1222833796893359E-2</v>
      </c>
      <c r="BB4" s="6">
        <v>-0.2137</v>
      </c>
      <c r="BC4" s="5">
        <v>1.06E-2</v>
      </c>
      <c r="BD4" s="4">
        <v>1.020683173145912E-2</v>
      </c>
      <c r="BE4" s="6">
        <v>-1.11E-2</v>
      </c>
      <c r="BF4" s="5">
        <v>4.99E-2</v>
      </c>
      <c r="BG4" s="4">
        <v>4.4336326359926126E-3</v>
      </c>
      <c r="BH4" s="5">
        <v>4.6999999999999993E-3</v>
      </c>
      <c r="BI4" s="5">
        <v>2.2200000000000001E-2</v>
      </c>
      <c r="BJ4" s="4">
        <v>2.3471941842505919E-2</v>
      </c>
      <c r="BK4" s="6">
        <v>-3.9600000000000003E-2</v>
      </c>
      <c r="BL4" s="6">
        <v>-2.1600000000000001E-2</v>
      </c>
      <c r="BM4" s="4">
        <v>2.4104406472204298E-3</v>
      </c>
      <c r="BN4" s="5">
        <v>0.31390000000000001</v>
      </c>
      <c r="BO4" s="5">
        <v>0.22170000000000001</v>
      </c>
      <c r="BP4" s="4">
        <v>2.3623488022934729E-2</v>
      </c>
      <c r="BQ4" s="5">
        <v>0.97129999999999994</v>
      </c>
      <c r="BR4" s="5">
        <v>0.1426</v>
      </c>
      <c r="BS4" s="4">
        <v>2.5770479406663108E-2</v>
      </c>
      <c r="BT4" s="5">
        <v>0.62029999999999996</v>
      </c>
      <c r="BU4" s="5">
        <v>0.18490000000000001</v>
      </c>
      <c r="BV4" s="4">
        <v>5.1357884567679292E-2</v>
      </c>
      <c r="BW4" s="5">
        <v>0.70550000000000002</v>
      </c>
      <c r="BX4" s="5">
        <v>0.34020000000000011</v>
      </c>
    </row>
    <row r="5" spans="1:76" x14ac:dyDescent="0.2">
      <c r="A5" s="2">
        <v>43966</v>
      </c>
      <c r="B5" t="s">
        <v>88</v>
      </c>
      <c r="C5" t="s">
        <v>89</v>
      </c>
      <c r="D5" s="4">
        <v>5.1399999999999987E-2</v>
      </c>
      <c r="E5" s="4">
        <v>2.801946282380384E-2</v>
      </c>
      <c r="F5" s="5">
        <v>1.0654999999999999</v>
      </c>
      <c r="G5" s="5">
        <v>0.3009</v>
      </c>
      <c r="H5" s="4">
        <v>1.837085700723998E-2</v>
      </c>
      <c r="I5" s="5">
        <v>0.2361</v>
      </c>
      <c r="J5" s="5">
        <v>0.18190000000000001</v>
      </c>
      <c r="K5" s="4">
        <v>1.401828983706885E-2</v>
      </c>
      <c r="L5" s="5">
        <v>0.95109999999999995</v>
      </c>
      <c r="M5" s="5">
        <v>0.27850000000000003</v>
      </c>
      <c r="N5" s="4">
        <v>6.8235695915445397E-3</v>
      </c>
      <c r="O5" s="6">
        <v>-0.21640000000000001</v>
      </c>
      <c r="P5" s="6">
        <v>-2.8500000000000001E-2</v>
      </c>
      <c r="Q5" s="4">
        <v>5.4985226583183153E-3</v>
      </c>
      <c r="R5" s="5">
        <v>9.98E-2</v>
      </c>
      <c r="S5" s="5">
        <v>5.0199999999999988E-2</v>
      </c>
      <c r="T5" s="4">
        <v>8.2934228103604506E-3</v>
      </c>
      <c r="U5" s="5">
        <v>0.47689999999999999</v>
      </c>
      <c r="V5" s="5">
        <v>0.1507</v>
      </c>
      <c r="W5" s="4">
        <v>1.6440697561783461E-2</v>
      </c>
      <c r="X5" s="6">
        <v>-0.1358</v>
      </c>
      <c r="Y5" s="6">
        <v>-0.1138</v>
      </c>
      <c r="Z5" s="4">
        <v>1.6713679763788451E-2</v>
      </c>
      <c r="AA5" s="6">
        <v>-0.1729</v>
      </c>
      <c r="AB5" s="6">
        <v>-0.13789999999999999</v>
      </c>
      <c r="AC5" s="4">
        <v>2.7252386418660721E-2</v>
      </c>
      <c r="AD5" s="5">
        <v>0.28110000000000002</v>
      </c>
      <c r="AE5" s="5">
        <v>7.8600000000000003E-2</v>
      </c>
      <c r="AF5" s="4">
        <v>1.254464170675283E-2</v>
      </c>
      <c r="AG5" s="6">
        <v>-0.38269999999999998</v>
      </c>
      <c r="AH5" s="6">
        <v>-0.11269999999999999</v>
      </c>
      <c r="AI5" s="4">
        <v>3.2732179822236217E-2</v>
      </c>
      <c r="AJ5" s="5">
        <v>9.5799999999999996E-2</v>
      </c>
      <c r="AK5" s="5">
        <v>0.17</v>
      </c>
      <c r="AL5" s="4">
        <v>2.9324630661878119E-2</v>
      </c>
      <c r="AM5" s="6">
        <v>-0.20499999999999999</v>
      </c>
      <c r="AN5" s="6">
        <v>-3.0000000000000001E-3</v>
      </c>
      <c r="AO5" s="4">
        <v>1.2525033264617151E-2</v>
      </c>
      <c r="AP5" s="5">
        <v>0.44130000000000003</v>
      </c>
      <c r="AQ5" s="5">
        <v>0.1946</v>
      </c>
      <c r="AR5" s="4">
        <v>1.6601993425082909E-2</v>
      </c>
      <c r="AS5" s="6">
        <v>-9.7999999999999997E-3</v>
      </c>
      <c r="AT5" s="5">
        <v>6.9199999999999998E-2</v>
      </c>
      <c r="AU5" s="4">
        <v>4.56240140890872E-2</v>
      </c>
      <c r="AV5" s="6">
        <v>-0.2051</v>
      </c>
      <c r="AW5" s="5">
        <v>0.26960000000000001</v>
      </c>
      <c r="AX5" s="4">
        <v>6.1018255938160154E-3</v>
      </c>
      <c r="AY5" s="6">
        <v>-7.8E-2</v>
      </c>
      <c r="AZ5" s="5">
        <v>0.15049999999999999</v>
      </c>
      <c r="BA5" s="4">
        <v>4.5409610047526881E-2</v>
      </c>
      <c r="BB5" s="5">
        <v>0.15740000000000001</v>
      </c>
      <c r="BC5" s="5">
        <v>1.06E-2</v>
      </c>
      <c r="BD5" s="4">
        <v>3.7907198144210653E-2</v>
      </c>
      <c r="BE5" s="5">
        <v>0.54520000000000002</v>
      </c>
      <c r="BF5" s="5">
        <v>4.99E-2</v>
      </c>
      <c r="BG5" s="4">
        <v>2.7297139910017771E-2</v>
      </c>
      <c r="BH5" s="5">
        <v>0.14349999999999999</v>
      </c>
      <c r="BI5" s="5">
        <v>2.2200000000000001E-2</v>
      </c>
      <c r="BJ5" s="4">
        <v>1.5384179959665151E-2</v>
      </c>
      <c r="BK5" s="6">
        <v>-3.6600000000000001E-2</v>
      </c>
      <c r="BL5" s="6">
        <v>-2.1600000000000001E-2</v>
      </c>
      <c r="BM5" s="4">
        <v>2.8374967882395321E-2</v>
      </c>
      <c r="BN5" s="6">
        <v>-2.1100000000000001E-2</v>
      </c>
      <c r="BO5" s="5">
        <v>0.22170000000000001</v>
      </c>
      <c r="BP5" s="4">
        <v>1.7890439588961419E-2</v>
      </c>
      <c r="BQ5" s="5">
        <v>0.2049</v>
      </c>
      <c r="BR5" s="5">
        <v>0.1426</v>
      </c>
      <c r="BS5" s="4">
        <v>1.022339404412529E-2</v>
      </c>
      <c r="BT5" s="5">
        <v>1.55E-2</v>
      </c>
      <c r="BU5" s="5">
        <v>0.18490000000000001</v>
      </c>
      <c r="BV5" s="4">
        <v>1.492254751988994E-2</v>
      </c>
      <c r="BW5" s="6">
        <v>-1.6000000000000001E-3</v>
      </c>
      <c r="BX5" s="5">
        <v>0.34020000000000011</v>
      </c>
    </row>
    <row r="6" spans="1:76" x14ac:dyDescent="0.2">
      <c r="A6" s="2">
        <v>44057</v>
      </c>
      <c r="B6" t="s">
        <v>90</v>
      </c>
      <c r="C6" t="s">
        <v>91</v>
      </c>
      <c r="D6" s="4">
        <v>3.6700000000000003E-2</v>
      </c>
      <c r="F6" s="5">
        <v>0.25040000000000001</v>
      </c>
      <c r="G6" s="5">
        <v>0.18190000000000001</v>
      </c>
      <c r="I6" s="5">
        <v>8.5800000000000001E-2</v>
      </c>
      <c r="J6" s="5">
        <v>0.27850000000000003</v>
      </c>
      <c r="L6" s="6">
        <v>-0.1027</v>
      </c>
      <c r="M6" s="6">
        <v>-2.8500000000000001E-2</v>
      </c>
      <c r="O6" s="5">
        <v>0.115</v>
      </c>
      <c r="P6" s="5">
        <v>5.0199999999999988E-2</v>
      </c>
      <c r="R6" s="5">
        <v>0.51200000000000001</v>
      </c>
      <c r="S6" s="5">
        <v>0.1507</v>
      </c>
      <c r="U6" s="6">
        <v>-9.2899999999999996E-2</v>
      </c>
      <c r="V6" s="6">
        <v>-0.1138</v>
      </c>
      <c r="Y6" s="6">
        <v>-0.13789999999999999</v>
      </c>
      <c r="AB6" s="5">
        <v>7.8600000000000003E-2</v>
      </c>
      <c r="AE6" s="6">
        <v>-0.11269999999999999</v>
      </c>
      <c r="AH6" s="5">
        <v>0.17</v>
      </c>
      <c r="AK6" s="6">
        <v>-3.0000000000000001E-3</v>
      </c>
      <c r="AN6" s="5">
        <v>0.1946</v>
      </c>
      <c r="AQ6" s="5">
        <v>6.9199999999999998E-2</v>
      </c>
      <c r="AT6" s="5">
        <v>0.26960000000000001</v>
      </c>
      <c r="AW6" s="5">
        <v>0.15049999999999999</v>
      </c>
      <c r="AZ6" s="5">
        <v>1.06E-2</v>
      </c>
      <c r="BC6" s="5">
        <v>4.99E-2</v>
      </c>
      <c r="BD6" s="4">
        <v>6.9588691269055862E-3</v>
      </c>
      <c r="BF6" s="5">
        <v>2.2200000000000001E-2</v>
      </c>
      <c r="BI6" s="6">
        <v>-2.1600000000000001E-2</v>
      </c>
      <c r="BJ6" s="4">
        <v>8.2915697451718794E-3</v>
      </c>
      <c r="BL6" s="5">
        <v>0.22170000000000001</v>
      </c>
      <c r="BM6" s="4">
        <v>1.342374594381259E-2</v>
      </c>
      <c r="BO6" s="5">
        <v>0.1426</v>
      </c>
      <c r="BP6" s="4">
        <v>8.6528838821311876E-3</v>
      </c>
      <c r="BR6" s="5">
        <v>0.18490000000000001</v>
      </c>
      <c r="BS6" s="4">
        <v>2.838584439757362E-2</v>
      </c>
      <c r="BU6" s="5">
        <v>0.34020000000000011</v>
      </c>
    </row>
    <row r="7" spans="1:76" x14ac:dyDescent="0.2">
      <c r="A7" s="2">
        <v>44057</v>
      </c>
      <c r="B7" t="s">
        <v>92</v>
      </c>
      <c r="C7" t="s">
        <v>93</v>
      </c>
      <c r="D7" s="4">
        <v>3.5900000000000001E-2</v>
      </c>
      <c r="E7" s="4">
        <v>2.5826423814697248E-2</v>
      </c>
      <c r="F7" s="6">
        <v>-4.8399999999999999E-2</v>
      </c>
      <c r="G7" s="5">
        <v>0.18190000000000001</v>
      </c>
      <c r="I7" s="5">
        <v>0.36070000000000002</v>
      </c>
      <c r="J7" s="5">
        <v>0.27850000000000003</v>
      </c>
      <c r="K7" s="4">
        <v>5.2291701114613367E-3</v>
      </c>
      <c r="L7" s="6">
        <v>-8.3699999999999997E-2</v>
      </c>
      <c r="M7" s="6">
        <v>-2.8500000000000001E-2</v>
      </c>
      <c r="O7" s="6">
        <v>-5.4000000000000013E-2</v>
      </c>
      <c r="P7" s="5">
        <v>5.0199999999999988E-2</v>
      </c>
      <c r="R7" s="6">
        <v>-5.2400000000000002E-2</v>
      </c>
      <c r="S7" s="5">
        <v>0.1507</v>
      </c>
      <c r="T7" s="4">
        <v>6.7026113258485953E-2</v>
      </c>
      <c r="U7" s="6">
        <v>-4.7199999999999999E-2</v>
      </c>
      <c r="V7" s="6">
        <v>-0.1138</v>
      </c>
      <c r="X7" s="6">
        <v>-8.7400000000000005E-2</v>
      </c>
      <c r="Y7" s="6">
        <v>-0.13789999999999999</v>
      </c>
      <c r="AA7" s="6">
        <v>-0.1479</v>
      </c>
      <c r="AB7" s="5">
        <v>7.8600000000000003E-2</v>
      </c>
      <c r="AD7" s="6">
        <v>-0.15359999999999999</v>
      </c>
      <c r="AE7" s="6">
        <v>-0.11269999999999999</v>
      </c>
      <c r="AG7" s="6">
        <v>-4.4800000000000013E-2</v>
      </c>
      <c r="AH7" s="5">
        <v>0.17</v>
      </c>
      <c r="AJ7" s="5">
        <v>4.4800000000000013E-2</v>
      </c>
      <c r="AK7" s="6">
        <v>-3.0000000000000001E-3</v>
      </c>
      <c r="AM7" s="5">
        <v>0.2016</v>
      </c>
      <c r="AN7" s="5">
        <v>0.1946</v>
      </c>
      <c r="AP7" s="5">
        <v>0.1082</v>
      </c>
      <c r="AQ7" s="5">
        <v>6.9199999999999998E-2</v>
      </c>
      <c r="AS7" s="5">
        <v>0.1246</v>
      </c>
      <c r="AT7" s="5">
        <v>0.26960000000000001</v>
      </c>
      <c r="AV7" s="6">
        <v>-0.28949999999999998</v>
      </c>
      <c r="AW7" s="5">
        <v>0.15049999999999999</v>
      </c>
      <c r="AY7" s="6">
        <v>-0.3589</v>
      </c>
      <c r="AZ7" s="5">
        <v>1.06E-2</v>
      </c>
      <c r="BB7" s="5">
        <v>0.25650000000000001</v>
      </c>
      <c r="BC7" s="5">
        <v>4.99E-2</v>
      </c>
      <c r="BE7" s="6">
        <v>-5.7099999999999998E-2</v>
      </c>
      <c r="BF7" s="5">
        <v>2.2200000000000001E-2</v>
      </c>
      <c r="BH7" s="6">
        <v>-8.6899999999999991E-2</v>
      </c>
      <c r="BI7" s="6">
        <v>-2.1600000000000001E-2</v>
      </c>
      <c r="BK7" s="5">
        <v>0.1072</v>
      </c>
      <c r="BL7" s="5">
        <v>0.22170000000000001</v>
      </c>
      <c r="BM7" s="4">
        <v>1.7060410156834939E-2</v>
      </c>
      <c r="BN7" s="5">
        <v>0.48870000000000002</v>
      </c>
      <c r="BO7" s="5">
        <v>0.1426</v>
      </c>
      <c r="BP7" s="4">
        <v>2.1820623343951741E-3</v>
      </c>
      <c r="BQ7" s="5">
        <v>0.30009999999999998</v>
      </c>
      <c r="BR7" s="5">
        <v>0.18490000000000001</v>
      </c>
      <c r="BS7" s="4">
        <v>5.7678323794157884E-3</v>
      </c>
      <c r="BT7" s="5">
        <v>1.3424</v>
      </c>
      <c r="BU7" s="5">
        <v>0.34020000000000011</v>
      </c>
    </row>
    <row r="8" spans="1:76" x14ac:dyDescent="0.2">
      <c r="A8" s="2">
        <v>44879</v>
      </c>
      <c r="B8" t="s">
        <v>94</v>
      </c>
      <c r="C8" t="s">
        <v>95</v>
      </c>
      <c r="D8" s="4">
        <v>2.41E-2</v>
      </c>
      <c r="E8" s="4">
        <v>3.9801663643990987E-2</v>
      </c>
      <c r="F8" s="5">
        <v>8.0000000000000002E-3</v>
      </c>
      <c r="G8" s="5">
        <v>0.17</v>
      </c>
      <c r="H8" s="4">
        <v>5.6732914265015172E-2</v>
      </c>
      <c r="I8" s="6">
        <v>-0.24579999999999999</v>
      </c>
      <c r="J8" s="6">
        <v>-3.0000000000000001E-3</v>
      </c>
      <c r="K8" s="4">
        <v>7.4668595125609943E-2</v>
      </c>
      <c r="L8" s="5">
        <v>0.55120000000000002</v>
      </c>
      <c r="M8" s="5">
        <v>0.1946</v>
      </c>
      <c r="N8" s="4">
        <v>9.0735289196196417E-2</v>
      </c>
      <c r="O8" s="5">
        <v>3.3300000000000003E-2</v>
      </c>
      <c r="P8" s="5">
        <v>6.9199999999999998E-2</v>
      </c>
      <c r="Q8" s="4">
        <v>6.4351426917532081E-2</v>
      </c>
      <c r="R8" s="5">
        <v>0.1207</v>
      </c>
      <c r="S8" s="5">
        <v>0.26960000000000001</v>
      </c>
      <c r="T8" s="4">
        <v>3.1903283198031762E-2</v>
      </c>
      <c r="U8" s="5">
        <v>0.40439999999999998</v>
      </c>
      <c r="V8" s="5">
        <v>0.15049999999999999</v>
      </c>
      <c r="W8" s="4">
        <v>3.2441770782569393E-2</v>
      </c>
      <c r="X8" s="5">
        <v>1.1900000000000001E-2</v>
      </c>
      <c r="Y8" s="5">
        <v>1.06E-2</v>
      </c>
      <c r="AA8" s="6">
        <v>-0.1736</v>
      </c>
      <c r="AB8" s="5">
        <v>4.99E-2</v>
      </c>
      <c r="AD8" s="5">
        <v>0.36059999999999998</v>
      </c>
      <c r="AE8" s="5">
        <v>2.2200000000000001E-2</v>
      </c>
      <c r="AG8" s="6">
        <v>-0.1817</v>
      </c>
      <c r="AH8" s="6">
        <v>-2.1600000000000001E-2</v>
      </c>
      <c r="AI8" s="4">
        <v>5.6762295968588027E-2</v>
      </c>
      <c r="AJ8" s="5">
        <v>4.2699999999999988E-2</v>
      </c>
      <c r="AK8" s="5">
        <v>0.22170000000000001</v>
      </c>
      <c r="AL8" s="4">
        <v>6.6894676836821945E-2</v>
      </c>
      <c r="AM8" s="5">
        <v>0.4622</v>
      </c>
      <c r="AN8" s="5">
        <v>0.1426</v>
      </c>
      <c r="AO8" s="4">
        <v>3.4208380191871682E-2</v>
      </c>
      <c r="AP8" s="6">
        <v>-0.14069999999999999</v>
      </c>
      <c r="AQ8" s="5">
        <v>0.18490000000000001</v>
      </c>
      <c r="AS8" s="5">
        <v>6.0299999999999999E-2</v>
      </c>
      <c r="AT8" s="5">
        <v>0.34020000000000011</v>
      </c>
    </row>
    <row r="9" spans="1:76" x14ac:dyDescent="0.2">
      <c r="A9" s="2">
        <v>45152</v>
      </c>
      <c r="B9" t="s">
        <v>96</v>
      </c>
      <c r="C9" t="s">
        <v>97</v>
      </c>
      <c r="D9" s="4">
        <v>1.34E-2</v>
      </c>
      <c r="F9" s="6">
        <v>-6.0400000000000002E-2</v>
      </c>
      <c r="G9" s="5">
        <v>6.9199999999999998E-2</v>
      </c>
      <c r="I9" s="6">
        <v>-6.5199999999999994E-2</v>
      </c>
      <c r="J9" s="5">
        <v>0.26960000000000001</v>
      </c>
      <c r="L9" s="5">
        <v>0.1885</v>
      </c>
      <c r="M9" s="5">
        <v>0.15049999999999999</v>
      </c>
      <c r="N9" s="4">
        <v>4.1337365516752621E-2</v>
      </c>
      <c r="O9" s="6">
        <v>-4.5999999999999999E-3</v>
      </c>
      <c r="P9" s="5">
        <v>1.06E-2</v>
      </c>
      <c r="Q9" s="4">
        <v>2.1106098336254918E-3</v>
      </c>
      <c r="R9" s="5">
        <v>0.20880000000000001</v>
      </c>
      <c r="S9" s="5">
        <v>4.99E-2</v>
      </c>
      <c r="T9" s="4">
        <v>6.7805410547985634E-3</v>
      </c>
      <c r="U9" s="5">
        <v>2.3699999999999999E-2</v>
      </c>
      <c r="V9" s="5">
        <v>2.2200000000000001E-2</v>
      </c>
      <c r="X9" s="6">
        <v>-0.18179999999999999</v>
      </c>
      <c r="Y9" s="6">
        <v>-2.1600000000000001E-2</v>
      </c>
      <c r="AA9" s="5">
        <v>0.21879999999999999</v>
      </c>
      <c r="AB9" s="5">
        <v>0.22170000000000001</v>
      </c>
      <c r="AD9" s="5">
        <v>7.6499999999999999E-2</v>
      </c>
      <c r="AE9" s="5">
        <v>0.1426</v>
      </c>
      <c r="AG9" s="6">
        <v>-3.1899999999999998E-2</v>
      </c>
      <c r="AH9" s="5">
        <v>0.18490000000000001</v>
      </c>
      <c r="AJ9" s="5">
        <v>0.51170000000000004</v>
      </c>
      <c r="AK9" s="5">
        <v>0.34020000000000011</v>
      </c>
    </row>
    <row r="10" spans="1:76" x14ac:dyDescent="0.2">
      <c r="A10" s="2">
        <v>45244</v>
      </c>
      <c r="B10" t="s">
        <v>98</v>
      </c>
      <c r="C10" t="s">
        <v>99</v>
      </c>
      <c r="D10" s="4">
        <v>2.7400000000000001E-2</v>
      </c>
      <c r="E10" s="4">
        <v>4.5725616554712793E-2</v>
      </c>
      <c r="F10" s="5">
        <v>0.50329999999999997</v>
      </c>
      <c r="G10" s="5">
        <v>0.26960000000000001</v>
      </c>
      <c r="H10" s="4">
        <v>4.8878099681026882E-2</v>
      </c>
      <c r="I10" s="6">
        <v>-0.11</v>
      </c>
      <c r="J10" s="5">
        <v>0.15049999999999999</v>
      </c>
      <c r="K10" s="4">
        <v>7.839892430631791E-2</v>
      </c>
      <c r="L10" s="5">
        <v>9.4E-2</v>
      </c>
      <c r="M10" s="5">
        <v>1.06E-2</v>
      </c>
      <c r="N10" s="4">
        <v>6.208710352041516E-2</v>
      </c>
      <c r="O10" s="5">
        <v>0.44355000000000011</v>
      </c>
      <c r="P10" s="5">
        <v>4.99E-2</v>
      </c>
      <c r="Q10" s="4">
        <v>3.3658632647477413E-2</v>
      </c>
      <c r="R10" s="5">
        <v>7.7699999999999991E-2</v>
      </c>
      <c r="S10" s="5">
        <v>2.2200000000000001E-2</v>
      </c>
      <c r="T10" s="4">
        <v>3.5489012644823688E-2</v>
      </c>
      <c r="U10" s="6">
        <v>-0.10165</v>
      </c>
      <c r="V10" s="6">
        <v>-2.1600000000000001E-2</v>
      </c>
      <c r="W10" s="4">
        <v>7.4862380888199687E-2</v>
      </c>
      <c r="X10" s="5">
        <v>0.1542</v>
      </c>
      <c r="Y10" s="5">
        <v>0.22170000000000001</v>
      </c>
      <c r="Z10" s="4">
        <v>7.9727047634197579E-2</v>
      </c>
      <c r="AA10" s="5">
        <v>0.80859999999999999</v>
      </c>
      <c r="AB10" s="5">
        <v>0.1426</v>
      </c>
      <c r="AC10" s="4">
        <v>8.591718363738611E-2</v>
      </c>
      <c r="AD10" s="5">
        <v>0.57784999999999997</v>
      </c>
      <c r="AE10" s="5">
        <v>0.18490000000000001</v>
      </c>
      <c r="AF10" s="4">
        <v>0.1201502682787316</v>
      </c>
      <c r="AG10" s="5">
        <v>0.69224999999999992</v>
      </c>
      <c r="AH10" s="5">
        <v>0.34020000000000011</v>
      </c>
    </row>
    <row r="11" spans="1:76" x14ac:dyDescent="0.2">
      <c r="A11" s="2">
        <v>45427</v>
      </c>
      <c r="B11" t="s">
        <v>100</v>
      </c>
      <c r="C11" t="s">
        <v>101</v>
      </c>
      <c r="D11" s="4">
        <v>4.4900000000000002E-2</v>
      </c>
      <c r="E11" s="4">
        <v>5.486190847349566E-2</v>
      </c>
      <c r="F11" s="6">
        <v>-0.49809999999999999</v>
      </c>
      <c r="G11" s="5">
        <v>1.06E-2</v>
      </c>
      <c r="H11" s="4">
        <v>9.5618234344453198E-2</v>
      </c>
      <c r="I11" s="5">
        <v>1.2770999999999999</v>
      </c>
      <c r="J11" s="5">
        <v>4.99E-2</v>
      </c>
      <c r="K11" s="4">
        <v>5.3266797047628441E-2</v>
      </c>
      <c r="L11" s="6">
        <v>-7.1999999999999998E-3</v>
      </c>
      <c r="M11" s="5">
        <v>2.2200000000000001E-2</v>
      </c>
      <c r="N11" s="4">
        <v>8.4272662370772855E-2</v>
      </c>
      <c r="O11" s="5">
        <v>4.9400000000000013E-2</v>
      </c>
      <c r="P11" s="6">
        <v>-2.1600000000000001E-2</v>
      </c>
      <c r="Q11" s="4">
        <v>2.3956595450810539E-2</v>
      </c>
      <c r="R11" s="5">
        <v>1.0684</v>
      </c>
      <c r="S11" s="5">
        <v>0.22170000000000001</v>
      </c>
      <c r="T11" s="4">
        <v>2.3661288585827742E-3</v>
      </c>
      <c r="U11" s="6">
        <v>-0.24310000000000001</v>
      </c>
      <c r="V11" s="5">
        <v>0.1426</v>
      </c>
      <c r="W11" s="4">
        <v>3.2753294382213992E-2</v>
      </c>
      <c r="X11" s="6">
        <v>-0.1431</v>
      </c>
      <c r="Y11" s="5">
        <v>0.18490000000000001</v>
      </c>
      <c r="Z11" s="4">
        <v>7.3745628822782822E-2</v>
      </c>
      <c r="AA11" s="5">
        <v>0.74290000000000012</v>
      </c>
      <c r="AB11" s="5">
        <v>0.34020000000000011</v>
      </c>
    </row>
    <row r="12" spans="1:76" x14ac:dyDescent="0.2">
      <c r="A12" s="2">
        <v>45427</v>
      </c>
      <c r="B12" t="s">
        <v>102</v>
      </c>
      <c r="C12" t="s">
        <v>103</v>
      </c>
      <c r="D12" s="4">
        <v>2.4E-2</v>
      </c>
      <c r="F12" s="6">
        <v>-0.35339999999999999</v>
      </c>
      <c r="G12" s="5">
        <v>1.06E-2</v>
      </c>
      <c r="I12" s="5">
        <v>0.1978</v>
      </c>
      <c r="J12" s="5">
        <v>4.99E-2</v>
      </c>
      <c r="K12" s="4">
        <v>4.3523737602483993E-2</v>
      </c>
      <c r="L12" s="6">
        <v>-6.7000000000000002E-3</v>
      </c>
      <c r="M12" s="5">
        <v>2.2200000000000001E-2</v>
      </c>
      <c r="N12" s="4">
        <v>3.6854782705140712E-2</v>
      </c>
      <c r="O12" s="6">
        <v>-0.34229999999999999</v>
      </c>
      <c r="P12" s="6">
        <v>-2.1600000000000001E-2</v>
      </c>
      <c r="Q12" s="4">
        <v>3.2647712349549968E-2</v>
      </c>
      <c r="R12" s="5">
        <v>7.2800000000000004E-2</v>
      </c>
      <c r="S12" s="5">
        <v>0.22170000000000001</v>
      </c>
      <c r="T12" s="4">
        <v>2.0625475610788691E-2</v>
      </c>
      <c r="U12" s="5">
        <v>0.72540000000000004</v>
      </c>
      <c r="V12" s="5">
        <v>0.1426</v>
      </c>
      <c r="W12" s="4">
        <v>1.283299697477917E-2</v>
      </c>
      <c r="X12" s="5">
        <v>5.0000000000000001E-3</v>
      </c>
      <c r="Y12" s="5">
        <v>0.18490000000000001</v>
      </c>
      <c r="Z12" s="4">
        <v>4.3663705304359387E-3</v>
      </c>
      <c r="AA12" s="6">
        <v>-6.8699999999999997E-2</v>
      </c>
      <c r="AB12" s="5">
        <v>0.34020000000000011</v>
      </c>
    </row>
    <row r="13" spans="1:76" x14ac:dyDescent="0.2">
      <c r="A13" s="2">
        <v>45518</v>
      </c>
      <c r="B13" t="s">
        <v>104</v>
      </c>
      <c r="C13" t="s">
        <v>105</v>
      </c>
      <c r="D13" s="4">
        <v>2.8E-3</v>
      </c>
      <c r="F13" s="6">
        <v>-0.18029999999999999</v>
      </c>
      <c r="G13" s="5">
        <v>4.99E-2</v>
      </c>
      <c r="H13" s="4">
        <v>1.418376098544636E-3</v>
      </c>
      <c r="I13" s="6">
        <v>-0.11899999999999999</v>
      </c>
      <c r="J13" s="5">
        <v>2.2200000000000001E-2</v>
      </c>
      <c r="K13" s="4">
        <v>1.9852143650426549E-2</v>
      </c>
      <c r="L13" s="6">
        <v>-0.1113</v>
      </c>
      <c r="M13" s="6">
        <v>-2.1600000000000001E-2</v>
      </c>
      <c r="N13" s="4">
        <v>3.5764009099161242E-3</v>
      </c>
      <c r="O13" s="5">
        <v>0.23630000000000001</v>
      </c>
      <c r="P13" s="5">
        <v>0.22170000000000001</v>
      </c>
      <c r="Q13" s="4">
        <v>6.382585168828607E-3</v>
      </c>
      <c r="R13" s="5">
        <v>0.29649999999999999</v>
      </c>
      <c r="S13" s="5">
        <v>0.1426</v>
      </c>
      <c r="T13" s="4">
        <v>1.9237022208443649E-3</v>
      </c>
      <c r="U13" s="5">
        <v>0.48159999999999997</v>
      </c>
      <c r="V13" s="5">
        <v>0.18490000000000001</v>
      </c>
      <c r="W13" s="4">
        <v>1.6429009005905371E-2</v>
      </c>
      <c r="X13" s="5">
        <v>0.41260000000000002</v>
      </c>
      <c r="Y13" s="5">
        <v>0.34020000000000011</v>
      </c>
    </row>
    <row r="14" spans="1:76" x14ac:dyDescent="0.2">
      <c r="A14" s="2">
        <v>45702</v>
      </c>
      <c r="B14" t="s">
        <v>106</v>
      </c>
      <c r="C14" t="s">
        <v>107</v>
      </c>
      <c r="D14" s="4">
        <v>1.8800000000000001E-2</v>
      </c>
      <c r="E14" s="4">
        <v>5.6086253755125347E-2</v>
      </c>
      <c r="F14" s="6">
        <v>-1.35E-2</v>
      </c>
      <c r="G14" s="6">
        <v>-2.1600000000000001E-2</v>
      </c>
      <c r="H14" s="4">
        <v>4.1441716803459018E-2</v>
      </c>
      <c r="I14" s="5">
        <v>0.81059999999999999</v>
      </c>
      <c r="J14" s="5">
        <v>0.22170000000000001</v>
      </c>
      <c r="K14" s="4">
        <v>4.7657314939709067E-2</v>
      </c>
      <c r="L14" s="6">
        <v>-4.4200000000000003E-2</v>
      </c>
      <c r="M14" s="5">
        <v>0.1426</v>
      </c>
      <c r="N14" s="4">
        <v>3.5760229748957047E-2</v>
      </c>
      <c r="O14" s="6">
        <v>-0.5</v>
      </c>
      <c r="P14" s="5">
        <v>0.18490000000000001</v>
      </c>
      <c r="Q14" s="4">
        <v>5.4322909997806958E-2</v>
      </c>
      <c r="R14" s="5">
        <v>0.4597</v>
      </c>
      <c r="S14" s="5">
        <v>0.34020000000000011</v>
      </c>
    </row>
    <row r="15" spans="1:76" x14ac:dyDescent="0.2">
      <c r="A15" s="2">
        <v>45792</v>
      </c>
      <c r="B15" t="s">
        <v>108</v>
      </c>
      <c r="C15" t="s">
        <v>109</v>
      </c>
      <c r="D15" s="4">
        <v>2.1100000000000001E-2</v>
      </c>
      <c r="E15" s="4">
        <v>6.9937305867351389E-3</v>
      </c>
      <c r="F15" s="5">
        <v>0.51290000000000002</v>
      </c>
      <c r="G15" s="5">
        <v>0.22170000000000001</v>
      </c>
      <c r="H15" s="4">
        <v>1.6765131467316671E-3</v>
      </c>
      <c r="I15" s="6">
        <v>-0.22259999999999999</v>
      </c>
      <c r="J15" s="5">
        <v>0.1426</v>
      </c>
      <c r="K15" s="4">
        <v>5.303753883822101E-3</v>
      </c>
      <c r="L15" s="5">
        <v>0.17630000000000001</v>
      </c>
      <c r="M15" s="5">
        <v>0.18490000000000001</v>
      </c>
      <c r="N15" s="4">
        <v>1.2552910328037769E-2</v>
      </c>
      <c r="O15" s="5">
        <v>0.14030000000000001</v>
      </c>
      <c r="P15" s="5">
        <v>0.34020000000000011</v>
      </c>
    </row>
    <row r="16" spans="1:76" x14ac:dyDescent="0.2">
      <c r="A16" s="2">
        <v>46160</v>
      </c>
      <c r="B16" t="s">
        <v>110</v>
      </c>
      <c r="C16" t="s">
        <v>111</v>
      </c>
      <c r="D16" s="4">
        <v>1.5699999999999999E-2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X35"/>
  <sheetViews>
    <sheetView tabSelected="1" workbookViewId="0">
      <pane xSplit="4" ySplit="1" topLeftCell="E2" activePane="bottomRight" state="frozen"/>
      <selection pane="topRight"/>
      <selection pane="bottomLeft"/>
      <selection pane="bottomRight" activeCell="D31" sqref="D31"/>
    </sheetView>
  </sheetViews>
  <sheetFormatPr baseColWidth="10" defaultColWidth="8.83203125" defaultRowHeight="15" x14ac:dyDescent="0.2"/>
  <cols>
    <col min="1" max="1" width="12" customWidth="1"/>
    <col min="2" max="2" width="10" customWidth="1"/>
    <col min="3" max="3" width="24" customWidth="1"/>
    <col min="4" max="4" width="16" customWidth="1"/>
    <col min="5" max="76" width="10" customWidth="1"/>
  </cols>
  <sheetData>
    <row r="1" spans="1:76" x14ac:dyDescent="0.2">
      <c r="A1" s="1" t="s">
        <v>0</v>
      </c>
      <c r="B1" s="1" t="s">
        <v>112</v>
      </c>
      <c r="C1" s="1" t="s">
        <v>113</v>
      </c>
      <c r="D1" s="1" t="s">
        <v>114</v>
      </c>
      <c r="E1" s="1" t="s">
        <v>18</v>
      </c>
      <c r="F1" s="1" t="s">
        <v>115</v>
      </c>
      <c r="G1" s="1" t="s">
        <v>7</v>
      </c>
      <c r="H1" s="1" t="s">
        <v>20</v>
      </c>
      <c r="I1" s="1" t="s">
        <v>116</v>
      </c>
      <c r="J1" s="1" t="s">
        <v>8</v>
      </c>
      <c r="K1" s="1" t="s">
        <v>22</v>
      </c>
      <c r="L1" s="1" t="s">
        <v>117</v>
      </c>
      <c r="M1" s="1" t="s">
        <v>9</v>
      </c>
      <c r="N1" s="1" t="s">
        <v>24</v>
      </c>
      <c r="O1" s="1" t="s">
        <v>118</v>
      </c>
      <c r="P1" s="1" t="s">
        <v>10</v>
      </c>
      <c r="Q1" s="1" t="s">
        <v>26</v>
      </c>
      <c r="R1" s="1" t="s">
        <v>119</v>
      </c>
      <c r="S1" s="1" t="s">
        <v>11</v>
      </c>
      <c r="T1" s="1" t="s">
        <v>28</v>
      </c>
      <c r="U1" s="1" t="s">
        <v>120</v>
      </c>
      <c r="V1" s="1" t="s">
        <v>12</v>
      </c>
      <c r="W1" s="1" t="s">
        <v>30</v>
      </c>
      <c r="X1" s="1" t="s">
        <v>121</v>
      </c>
      <c r="Y1" s="1" t="s">
        <v>13</v>
      </c>
      <c r="Z1" s="1" t="s">
        <v>32</v>
      </c>
      <c r="AA1" s="1" t="s">
        <v>122</v>
      </c>
      <c r="AB1" s="1" t="s">
        <v>14</v>
      </c>
      <c r="AC1" s="1" t="s">
        <v>34</v>
      </c>
      <c r="AD1" s="1" t="s">
        <v>123</v>
      </c>
      <c r="AE1" s="1" t="s">
        <v>36</v>
      </c>
      <c r="AF1" s="1" t="s">
        <v>37</v>
      </c>
      <c r="AG1" s="1" t="s">
        <v>124</v>
      </c>
      <c r="AH1" s="1" t="s">
        <v>39</v>
      </c>
      <c r="AI1" s="1" t="s">
        <v>40</v>
      </c>
      <c r="AJ1" s="1" t="s">
        <v>125</v>
      </c>
      <c r="AK1" s="1" t="s">
        <v>42</v>
      </c>
      <c r="AL1" s="1" t="s">
        <v>43</v>
      </c>
      <c r="AM1" s="1" t="s">
        <v>126</v>
      </c>
      <c r="AN1" s="1" t="s">
        <v>45</v>
      </c>
      <c r="AO1" s="1" t="s">
        <v>46</v>
      </c>
      <c r="AP1" s="1" t="s">
        <v>127</v>
      </c>
      <c r="AQ1" s="1" t="s">
        <v>48</v>
      </c>
      <c r="AR1" s="1" t="s">
        <v>49</v>
      </c>
      <c r="AS1" s="1" t="s">
        <v>128</v>
      </c>
      <c r="AT1" s="1" t="s">
        <v>51</v>
      </c>
      <c r="AU1" s="1" t="s">
        <v>52</v>
      </c>
      <c r="AV1" s="1" t="s">
        <v>129</v>
      </c>
      <c r="AW1" s="1" t="s">
        <v>54</v>
      </c>
      <c r="AX1" s="1" t="s">
        <v>55</v>
      </c>
      <c r="AY1" s="1" t="s">
        <v>130</v>
      </c>
      <c r="AZ1" s="1" t="s">
        <v>57</v>
      </c>
      <c r="BA1" s="1" t="s">
        <v>58</v>
      </c>
      <c r="BB1" s="1" t="s">
        <v>131</v>
      </c>
      <c r="BC1" s="1" t="s">
        <v>60</v>
      </c>
      <c r="BD1" s="1" t="s">
        <v>61</v>
      </c>
      <c r="BE1" s="1" t="s">
        <v>132</v>
      </c>
      <c r="BF1" s="1" t="s">
        <v>63</v>
      </c>
      <c r="BG1" s="1" t="s">
        <v>64</v>
      </c>
      <c r="BH1" s="1" t="s">
        <v>133</v>
      </c>
      <c r="BI1" s="1" t="s">
        <v>66</v>
      </c>
      <c r="BJ1" s="1" t="s">
        <v>67</v>
      </c>
      <c r="BK1" s="1" t="s">
        <v>134</v>
      </c>
      <c r="BL1" s="1" t="s">
        <v>69</v>
      </c>
      <c r="BM1" s="1" t="s">
        <v>70</v>
      </c>
      <c r="BN1" s="1" t="s">
        <v>135</v>
      </c>
      <c r="BO1" s="1" t="s">
        <v>72</v>
      </c>
      <c r="BP1" s="1" t="s">
        <v>73</v>
      </c>
      <c r="BQ1" s="1" t="s">
        <v>136</v>
      </c>
      <c r="BR1" s="1" t="s">
        <v>75</v>
      </c>
      <c r="BS1" s="1" t="s">
        <v>76</v>
      </c>
      <c r="BT1" s="1" t="s">
        <v>137</v>
      </c>
      <c r="BU1" s="1" t="s">
        <v>78</v>
      </c>
      <c r="BV1" s="1" t="s">
        <v>79</v>
      </c>
      <c r="BW1" s="1" t="s">
        <v>138</v>
      </c>
      <c r="BX1" s="1" t="s">
        <v>81</v>
      </c>
    </row>
    <row r="2" spans="1:76" x14ac:dyDescent="0.2">
      <c r="A2" s="2">
        <v>43966</v>
      </c>
      <c r="B2" t="s">
        <v>139</v>
      </c>
      <c r="C2" t="s">
        <v>84</v>
      </c>
      <c r="D2" s="4">
        <v>4.7E-2</v>
      </c>
      <c r="E2" s="4">
        <v>4.7874818912713807E-2</v>
      </c>
      <c r="F2" s="5">
        <v>0.30640000000000001</v>
      </c>
      <c r="G2" s="5">
        <v>0.3009</v>
      </c>
      <c r="I2" s="6">
        <v>-5.4000000000000003E-3</v>
      </c>
      <c r="J2" s="5">
        <v>0.18190000000000001</v>
      </c>
      <c r="L2" s="5">
        <v>4.3999999999999997E-2</v>
      </c>
      <c r="M2" s="5">
        <v>0.27850000000000003</v>
      </c>
      <c r="O2" s="6">
        <v>-1.54E-2</v>
      </c>
      <c r="P2" s="6">
        <v>-2.8500000000000001E-2</v>
      </c>
      <c r="Q2" s="4">
        <v>2.9246917463748811E-2</v>
      </c>
      <c r="R2" s="5">
        <v>2.5000000000000001E-2</v>
      </c>
      <c r="S2" s="5">
        <v>5.0199999999999988E-2</v>
      </c>
      <c r="T2" s="4">
        <v>2.9787839981335069E-2</v>
      </c>
      <c r="U2" s="5">
        <v>7.4800000000000005E-2</v>
      </c>
      <c r="V2" s="5">
        <v>0.1507</v>
      </c>
      <c r="W2" s="4">
        <v>0.1015276740545388</v>
      </c>
      <c r="X2" s="6">
        <v>-0.12479999999999999</v>
      </c>
      <c r="Y2" s="6">
        <v>-0.1138</v>
      </c>
      <c r="Z2" s="4">
        <v>8.956796011219062E-2</v>
      </c>
      <c r="AA2" s="6">
        <v>-0.28589999999999999</v>
      </c>
      <c r="AB2" s="6">
        <v>-0.13789999999999999</v>
      </c>
      <c r="AC2" s="4">
        <v>0.1165871472491013</v>
      </c>
      <c r="AD2" s="5">
        <v>0.29210000000000003</v>
      </c>
      <c r="AE2" s="5">
        <v>7.8600000000000003E-2</v>
      </c>
      <c r="AF2" s="4">
        <v>7.9923577289644276E-2</v>
      </c>
      <c r="AG2" s="6">
        <v>-0.31209999999999999</v>
      </c>
      <c r="AH2" s="6">
        <v>-0.11269999999999999</v>
      </c>
      <c r="AI2" s="4">
        <v>1.5988254268281581E-2</v>
      </c>
      <c r="AJ2" s="5">
        <v>1.23E-2</v>
      </c>
      <c r="AK2" s="5">
        <v>0.17</v>
      </c>
      <c r="AL2" s="4">
        <v>3.977159490437103E-2</v>
      </c>
      <c r="AM2" s="5">
        <v>0.1153</v>
      </c>
      <c r="AN2" s="6">
        <v>-3.0000000000000001E-3</v>
      </c>
      <c r="AO2" s="4">
        <v>3.494660146981024E-2</v>
      </c>
      <c r="AP2" s="5">
        <v>0.2641</v>
      </c>
      <c r="AQ2" s="5">
        <v>0.1946</v>
      </c>
      <c r="AS2" s="5">
        <v>3.7199999999999997E-2</v>
      </c>
      <c r="AT2" s="5">
        <v>6.9199999999999998E-2</v>
      </c>
      <c r="AU2" s="4">
        <v>2.1091920627652111E-2</v>
      </c>
      <c r="AV2" s="5">
        <v>0.17269999999999999</v>
      </c>
      <c r="AW2" s="5">
        <v>0.26960000000000001</v>
      </c>
      <c r="AX2" s="4">
        <v>3.3705300060655932E-2</v>
      </c>
      <c r="AY2" s="5">
        <v>8.7799999999999989E-2</v>
      </c>
      <c r="AZ2" s="5">
        <v>0.15049999999999999</v>
      </c>
      <c r="BA2" s="4">
        <v>4.9451951454637863E-2</v>
      </c>
      <c r="BB2" s="6">
        <v>-8.539999999999999E-2</v>
      </c>
      <c r="BC2" s="5">
        <v>1.06E-2</v>
      </c>
      <c r="BD2" s="4">
        <v>4.4171994830388833E-2</v>
      </c>
      <c r="BE2" s="5">
        <v>0.24329999999999999</v>
      </c>
      <c r="BF2" s="5">
        <v>4.99E-2</v>
      </c>
      <c r="BG2" s="4">
        <v>3.2702006452399859E-2</v>
      </c>
      <c r="BH2" s="5">
        <v>8.1300000000000011E-2</v>
      </c>
      <c r="BI2" s="5">
        <v>2.2200000000000001E-2</v>
      </c>
      <c r="BJ2" s="4">
        <v>3.9808757250047268E-2</v>
      </c>
      <c r="BK2" s="6">
        <v>-0.1028</v>
      </c>
      <c r="BL2" s="6">
        <v>-2.1600000000000001E-2</v>
      </c>
      <c r="BM2" s="4">
        <v>4.3739957979591619E-2</v>
      </c>
      <c r="BN2" s="5">
        <v>0.1258</v>
      </c>
      <c r="BO2" s="5">
        <v>0.22170000000000001</v>
      </c>
      <c r="BP2" s="4">
        <v>2.817521253422722E-2</v>
      </c>
      <c r="BQ2" s="5">
        <v>1.61E-2</v>
      </c>
      <c r="BR2" s="5">
        <v>0.1426</v>
      </c>
      <c r="BS2" s="4">
        <v>1.9399619729278429E-2</v>
      </c>
      <c r="BT2" s="6">
        <v>-0.1429</v>
      </c>
      <c r="BU2" s="5">
        <v>0.18490000000000001</v>
      </c>
      <c r="BV2" s="4">
        <v>3.9702133204779083E-2</v>
      </c>
      <c r="BW2" s="5">
        <v>0.31669999999999998</v>
      </c>
      <c r="BX2" s="5">
        <v>0.34020000000000011</v>
      </c>
    </row>
    <row r="3" spans="1:76" x14ac:dyDescent="0.2">
      <c r="A3" s="2">
        <v>44057</v>
      </c>
      <c r="B3" t="s">
        <v>91</v>
      </c>
      <c r="C3" t="s">
        <v>90</v>
      </c>
      <c r="D3" s="4">
        <v>3.6700000000000003E-2</v>
      </c>
      <c r="F3" s="5">
        <v>0.25040000000000001</v>
      </c>
      <c r="G3" s="5">
        <v>0.18190000000000001</v>
      </c>
      <c r="I3" s="5">
        <v>8.5800000000000001E-2</v>
      </c>
      <c r="J3" s="5">
        <v>0.27850000000000003</v>
      </c>
      <c r="L3" s="6">
        <v>-0.1027</v>
      </c>
      <c r="M3" s="6">
        <v>-2.8500000000000001E-2</v>
      </c>
      <c r="O3" s="5">
        <v>0.115</v>
      </c>
      <c r="P3" s="5">
        <v>5.0199999999999988E-2</v>
      </c>
      <c r="R3" s="5">
        <v>0.51200000000000001</v>
      </c>
      <c r="S3" s="5">
        <v>0.1507</v>
      </c>
      <c r="U3" s="6">
        <v>-9.2899999999999996E-2</v>
      </c>
      <c r="V3" s="6">
        <v>-0.1138</v>
      </c>
      <c r="Y3" s="6">
        <v>-0.13789999999999999</v>
      </c>
      <c r="AB3" s="5">
        <v>7.8600000000000003E-2</v>
      </c>
      <c r="AE3" s="6">
        <v>-0.11269999999999999</v>
      </c>
      <c r="AH3" s="5">
        <v>0.17</v>
      </c>
      <c r="AK3" s="6">
        <v>-3.0000000000000001E-3</v>
      </c>
      <c r="AN3" s="5">
        <v>0.1946</v>
      </c>
      <c r="AQ3" s="5">
        <v>6.9199999999999998E-2</v>
      </c>
      <c r="AT3" s="5">
        <v>0.26960000000000001</v>
      </c>
      <c r="AW3" s="5">
        <v>0.15049999999999999</v>
      </c>
      <c r="AZ3" s="5">
        <v>1.06E-2</v>
      </c>
      <c r="BC3" s="5">
        <v>4.99E-2</v>
      </c>
      <c r="BF3" s="5">
        <v>2.2200000000000001E-2</v>
      </c>
      <c r="BI3" s="6">
        <v>-2.1600000000000001E-2</v>
      </c>
      <c r="BL3" s="5">
        <v>0.22170000000000001</v>
      </c>
      <c r="BO3" s="5">
        <v>0.1426</v>
      </c>
      <c r="BR3" s="5">
        <v>0.18490000000000001</v>
      </c>
      <c r="BU3" s="5">
        <v>0.34020000000000011</v>
      </c>
    </row>
    <row r="4" spans="1:76" x14ac:dyDescent="0.2">
      <c r="A4" s="2">
        <v>44057</v>
      </c>
      <c r="B4" t="s">
        <v>93</v>
      </c>
      <c r="C4" t="s">
        <v>92</v>
      </c>
      <c r="D4" s="4">
        <v>3.5900000000000001E-2</v>
      </c>
      <c r="E4" s="4">
        <v>2.5826423814697248E-2</v>
      </c>
      <c r="F4" s="6">
        <v>-4.8399999999999999E-2</v>
      </c>
      <c r="G4" s="5">
        <v>0.18190000000000001</v>
      </c>
      <c r="I4" s="5">
        <v>0.36070000000000002</v>
      </c>
      <c r="J4" s="5">
        <v>0.27850000000000003</v>
      </c>
      <c r="K4" s="4">
        <v>5.2291701114613367E-3</v>
      </c>
      <c r="L4" s="6">
        <v>-8.3699999999999997E-2</v>
      </c>
      <c r="M4" s="6">
        <v>-2.8500000000000001E-2</v>
      </c>
      <c r="O4" s="6">
        <v>-5.4000000000000013E-2</v>
      </c>
      <c r="P4" s="5">
        <v>5.0199999999999988E-2</v>
      </c>
      <c r="R4" s="6">
        <v>-5.2400000000000002E-2</v>
      </c>
      <c r="S4" s="5">
        <v>0.1507</v>
      </c>
      <c r="T4" s="4">
        <v>6.7026113258485953E-2</v>
      </c>
      <c r="U4" s="6">
        <v>-4.7199999999999999E-2</v>
      </c>
      <c r="V4" s="6">
        <v>-0.1138</v>
      </c>
      <c r="X4" s="6">
        <v>-8.7400000000000005E-2</v>
      </c>
      <c r="Y4" s="6">
        <v>-0.13789999999999999</v>
      </c>
      <c r="AA4" s="6">
        <v>-0.1479</v>
      </c>
      <c r="AB4" s="5">
        <v>7.8600000000000003E-2</v>
      </c>
      <c r="AD4" s="6">
        <v>-0.15359999999999999</v>
      </c>
      <c r="AE4" s="6">
        <v>-0.11269999999999999</v>
      </c>
      <c r="AG4" s="6">
        <v>-4.4800000000000013E-2</v>
      </c>
      <c r="AH4" s="5">
        <v>0.17</v>
      </c>
      <c r="AJ4" s="5">
        <v>4.4800000000000013E-2</v>
      </c>
      <c r="AK4" s="6">
        <v>-3.0000000000000001E-3</v>
      </c>
      <c r="AM4" s="5">
        <v>0.2016</v>
      </c>
      <c r="AN4" s="5">
        <v>0.1946</v>
      </c>
      <c r="AP4" s="5">
        <v>0.1082</v>
      </c>
      <c r="AQ4" s="5">
        <v>6.9199999999999998E-2</v>
      </c>
      <c r="AS4" s="5">
        <v>0.1246</v>
      </c>
      <c r="AT4" s="5">
        <v>0.26960000000000001</v>
      </c>
      <c r="AV4" s="6">
        <v>-0.28949999999999998</v>
      </c>
      <c r="AW4" s="5">
        <v>0.15049999999999999</v>
      </c>
      <c r="AY4" s="6">
        <v>-0.3589</v>
      </c>
      <c r="AZ4" s="5">
        <v>1.06E-2</v>
      </c>
      <c r="BB4" s="5">
        <v>0.25650000000000001</v>
      </c>
      <c r="BC4" s="5">
        <v>4.99E-2</v>
      </c>
      <c r="BE4" s="6">
        <v>-5.7099999999999998E-2</v>
      </c>
      <c r="BF4" s="5">
        <v>2.2200000000000001E-2</v>
      </c>
      <c r="BH4" s="6">
        <v>-8.6899999999999991E-2</v>
      </c>
      <c r="BI4" s="6">
        <v>-2.1600000000000001E-2</v>
      </c>
      <c r="BK4" s="5">
        <v>0.1072</v>
      </c>
      <c r="BL4" s="5">
        <v>0.22170000000000001</v>
      </c>
      <c r="BM4" s="4">
        <v>1.7060410156834939E-2</v>
      </c>
      <c r="BN4" s="5">
        <v>0.48870000000000002</v>
      </c>
      <c r="BO4" s="5">
        <v>0.1426</v>
      </c>
      <c r="BP4" s="4">
        <v>2.1820623343951741E-3</v>
      </c>
      <c r="BQ4" s="5">
        <v>0.30009999999999998</v>
      </c>
      <c r="BR4" s="5">
        <v>0.18490000000000001</v>
      </c>
      <c r="BS4" s="4">
        <v>5.7678323794157884E-3</v>
      </c>
      <c r="BT4" s="5">
        <v>1.3424</v>
      </c>
      <c r="BU4" s="5">
        <v>0.34020000000000011</v>
      </c>
    </row>
    <row r="5" spans="1:76" x14ac:dyDescent="0.2">
      <c r="A5" s="2">
        <v>44348</v>
      </c>
      <c r="B5" t="s">
        <v>140</v>
      </c>
      <c r="C5" t="s">
        <v>82</v>
      </c>
      <c r="D5" s="4">
        <v>5.3600000000000002E-2</v>
      </c>
      <c r="E5" s="4">
        <v>3.3059371790838933E-2</v>
      </c>
      <c r="F5" s="5">
        <v>0.33</v>
      </c>
      <c r="G5" s="5">
        <v>5.0199999999999988E-2</v>
      </c>
      <c r="I5" s="5">
        <v>0.36299999999999999</v>
      </c>
      <c r="J5" s="5">
        <v>0.1507</v>
      </c>
      <c r="L5" s="6">
        <v>-0.21990000000000001</v>
      </c>
      <c r="M5" s="6">
        <v>-0.1138</v>
      </c>
      <c r="O5" s="6">
        <v>-0.17530000000000001</v>
      </c>
      <c r="P5" s="6">
        <v>-0.13789999999999999</v>
      </c>
      <c r="R5" s="5">
        <v>7.1800000000000003E-2</v>
      </c>
      <c r="S5" s="5">
        <v>7.8600000000000003E-2</v>
      </c>
      <c r="T5" s="4">
        <v>5.5429341335314887E-2</v>
      </c>
      <c r="U5" s="6">
        <v>-0.27210000000000001</v>
      </c>
      <c r="V5" s="6">
        <v>-0.11269999999999999</v>
      </c>
      <c r="W5" s="4">
        <v>9.2886029315251847E-2</v>
      </c>
      <c r="X5" s="5">
        <v>0.16889999999999999</v>
      </c>
      <c r="Y5" s="5">
        <v>0.17</v>
      </c>
      <c r="Z5" s="4">
        <v>0.1160934077448212</v>
      </c>
      <c r="AA5" s="5">
        <v>0.13320000000000001</v>
      </c>
      <c r="AB5" s="6">
        <v>-3.0000000000000001E-3</v>
      </c>
      <c r="AC5" s="4">
        <v>3.5032396046323078E-2</v>
      </c>
      <c r="AD5" s="5">
        <v>0.1497</v>
      </c>
      <c r="AE5" s="5">
        <v>0.1946</v>
      </c>
      <c r="AF5" s="4">
        <v>0.11503127978022901</v>
      </c>
      <c r="AG5" s="5">
        <v>7.0499999999999993E-2</v>
      </c>
      <c r="AH5" s="5">
        <v>6.9199999999999998E-2</v>
      </c>
      <c r="AI5" s="4">
        <v>6.844211211829733E-2</v>
      </c>
      <c r="AJ5" s="5">
        <v>0.49070000000000003</v>
      </c>
      <c r="AK5" s="5">
        <v>0.26960000000000001</v>
      </c>
      <c r="AL5" s="4">
        <v>4.1671830708773942E-2</v>
      </c>
      <c r="AM5" s="6">
        <v>-0.1065</v>
      </c>
      <c r="AN5" s="5">
        <v>0.15049999999999999</v>
      </c>
      <c r="AO5" s="4">
        <v>5.5103740450354453E-2</v>
      </c>
      <c r="AP5" s="6">
        <v>-0.11849999999999999</v>
      </c>
      <c r="AQ5" s="5">
        <v>1.06E-2</v>
      </c>
      <c r="AR5" s="4">
        <v>8.6224359728782257E-2</v>
      </c>
      <c r="AS5" s="6">
        <v>-1.3599999999999999E-2</v>
      </c>
      <c r="AT5" s="5">
        <v>4.99E-2</v>
      </c>
      <c r="AU5" s="4">
        <v>5.0837351512648447E-2</v>
      </c>
      <c r="AV5" s="6">
        <v>-0.18540000000000001</v>
      </c>
      <c r="AW5" s="5">
        <v>2.2200000000000001E-2</v>
      </c>
      <c r="AX5" s="4">
        <v>6.5589983075972663E-2</v>
      </c>
      <c r="AY5" s="5">
        <v>1.67E-2</v>
      </c>
      <c r="AZ5" s="6">
        <v>-2.1600000000000001E-2</v>
      </c>
      <c r="BA5" s="4">
        <v>6.8372126450748888E-2</v>
      </c>
      <c r="BB5" s="5">
        <v>0.5736</v>
      </c>
      <c r="BC5" s="5">
        <v>0.22170000000000001</v>
      </c>
      <c r="BD5" s="4">
        <v>1.069285523732667E-2</v>
      </c>
      <c r="BE5" s="5">
        <v>0.36399999999999999</v>
      </c>
      <c r="BF5" s="5">
        <v>0.1426</v>
      </c>
      <c r="BH5" s="6">
        <v>-0.1772</v>
      </c>
      <c r="BI5" s="5">
        <v>0.18490000000000001</v>
      </c>
      <c r="BK5" s="5">
        <v>1.073</v>
      </c>
      <c r="BL5" s="5">
        <v>0.34020000000000011</v>
      </c>
    </row>
    <row r="6" spans="1:76" x14ac:dyDescent="0.2">
      <c r="A6" s="2">
        <v>44424</v>
      </c>
      <c r="B6" t="s">
        <v>139</v>
      </c>
      <c r="C6" t="s">
        <v>84</v>
      </c>
      <c r="D6" s="4">
        <v>2.92E-2</v>
      </c>
      <c r="E6" s="4">
        <v>2.9787839981335069E-2</v>
      </c>
      <c r="F6" s="5">
        <v>7.4800000000000005E-2</v>
      </c>
      <c r="G6" s="5">
        <v>0.1507</v>
      </c>
      <c r="H6" s="4">
        <v>0.1015276740545388</v>
      </c>
      <c r="I6" s="6">
        <v>-0.12479999999999999</v>
      </c>
      <c r="J6" s="6">
        <v>-0.1138</v>
      </c>
      <c r="K6" s="4">
        <v>8.956796011219062E-2</v>
      </c>
      <c r="L6" s="6">
        <v>-0.28589999999999999</v>
      </c>
      <c r="M6" s="6">
        <v>-0.13789999999999999</v>
      </c>
      <c r="N6" s="4">
        <v>0.1165871472491013</v>
      </c>
      <c r="O6" s="5">
        <v>0.29210000000000003</v>
      </c>
      <c r="P6" s="5">
        <v>7.8600000000000003E-2</v>
      </c>
      <c r="Q6" s="4">
        <v>7.9923577289644276E-2</v>
      </c>
      <c r="R6" s="6">
        <v>-0.31209999999999999</v>
      </c>
      <c r="S6" s="6">
        <v>-0.11269999999999999</v>
      </c>
      <c r="T6" s="4">
        <v>1.5988254268281581E-2</v>
      </c>
      <c r="U6" s="5">
        <v>1.23E-2</v>
      </c>
      <c r="V6" s="5">
        <v>0.17</v>
      </c>
      <c r="W6" s="4">
        <v>3.977159490437103E-2</v>
      </c>
      <c r="X6" s="5">
        <v>0.1153</v>
      </c>
      <c r="Y6" s="6">
        <v>-3.0000000000000001E-3</v>
      </c>
      <c r="Z6" s="4">
        <v>3.494660146981024E-2</v>
      </c>
      <c r="AA6" s="5">
        <v>0.2641</v>
      </c>
      <c r="AB6" s="5">
        <v>0.1946</v>
      </c>
      <c r="AD6" s="5">
        <v>3.7199999999999997E-2</v>
      </c>
      <c r="AE6" s="5">
        <v>6.9199999999999998E-2</v>
      </c>
      <c r="AF6" s="4">
        <v>2.1091920627652111E-2</v>
      </c>
      <c r="AG6" s="5">
        <v>0.17269999999999999</v>
      </c>
      <c r="AH6" s="5">
        <v>0.26960000000000001</v>
      </c>
      <c r="AI6" s="4">
        <v>3.3705300060655932E-2</v>
      </c>
      <c r="AJ6" s="5">
        <v>8.7799999999999989E-2</v>
      </c>
      <c r="AK6" s="5">
        <v>0.15049999999999999</v>
      </c>
      <c r="AL6" s="4">
        <v>4.9451951454637863E-2</v>
      </c>
      <c r="AM6" s="6">
        <v>-8.539999999999999E-2</v>
      </c>
      <c r="AN6" s="5">
        <v>1.06E-2</v>
      </c>
      <c r="AO6" s="4">
        <v>4.4171994830388833E-2</v>
      </c>
      <c r="AP6" s="5">
        <v>0.24329999999999999</v>
      </c>
      <c r="AQ6" s="5">
        <v>4.99E-2</v>
      </c>
      <c r="AR6" s="4">
        <v>3.2702006452399859E-2</v>
      </c>
      <c r="AS6" s="5">
        <v>8.1300000000000011E-2</v>
      </c>
      <c r="AT6" s="5">
        <v>2.2200000000000001E-2</v>
      </c>
      <c r="AU6" s="4">
        <v>3.9808757250047268E-2</v>
      </c>
      <c r="AV6" s="6">
        <v>-0.1028</v>
      </c>
      <c r="AW6" s="6">
        <v>-2.1600000000000001E-2</v>
      </c>
      <c r="AX6" s="4">
        <v>4.3739957979591619E-2</v>
      </c>
      <c r="AY6" s="5">
        <v>0.1258</v>
      </c>
      <c r="AZ6" s="5">
        <v>0.22170000000000001</v>
      </c>
      <c r="BA6" s="4">
        <v>2.817521253422722E-2</v>
      </c>
      <c r="BB6" s="5">
        <v>1.61E-2</v>
      </c>
      <c r="BC6" s="5">
        <v>0.1426</v>
      </c>
      <c r="BD6" s="4">
        <v>1.9399619729278429E-2</v>
      </c>
      <c r="BE6" s="6">
        <v>-0.1429</v>
      </c>
      <c r="BF6" s="5">
        <v>0.18490000000000001</v>
      </c>
      <c r="BG6" s="4">
        <v>3.9702133204779083E-2</v>
      </c>
      <c r="BH6" s="5">
        <v>0.31669999999999998</v>
      </c>
      <c r="BI6" s="5">
        <v>0.34020000000000011</v>
      </c>
    </row>
    <row r="7" spans="1:76" x14ac:dyDescent="0.2">
      <c r="A7" s="2">
        <v>44606</v>
      </c>
      <c r="B7" t="s">
        <v>93</v>
      </c>
      <c r="C7" t="s">
        <v>92</v>
      </c>
      <c r="D7" s="4">
        <v>6.7000000000000004E-2</v>
      </c>
      <c r="F7" s="6">
        <v>-8.7400000000000005E-2</v>
      </c>
      <c r="G7" s="6">
        <v>-0.13789999999999999</v>
      </c>
      <c r="I7" s="6">
        <v>-0.1479</v>
      </c>
      <c r="J7" s="5">
        <v>7.8600000000000003E-2</v>
      </c>
      <c r="L7" s="6">
        <v>-0.15359999999999999</v>
      </c>
      <c r="M7" s="6">
        <v>-0.11269999999999999</v>
      </c>
      <c r="O7" s="6">
        <v>-4.4800000000000013E-2</v>
      </c>
      <c r="P7" s="5">
        <v>0.17</v>
      </c>
      <c r="R7" s="5">
        <v>4.4800000000000013E-2</v>
      </c>
      <c r="S7" s="6">
        <v>-3.0000000000000001E-3</v>
      </c>
      <c r="U7" s="5">
        <v>0.2016</v>
      </c>
      <c r="V7" s="5">
        <v>0.1946</v>
      </c>
      <c r="X7" s="5">
        <v>0.1082</v>
      </c>
      <c r="Y7" s="5">
        <v>6.9199999999999998E-2</v>
      </c>
      <c r="AA7" s="5">
        <v>0.1246</v>
      </c>
      <c r="AB7" s="5">
        <v>0.26960000000000001</v>
      </c>
      <c r="AD7" s="6">
        <v>-0.28949999999999998</v>
      </c>
      <c r="AE7" s="5">
        <v>0.15049999999999999</v>
      </c>
      <c r="AG7" s="6">
        <v>-0.3589</v>
      </c>
      <c r="AH7" s="5">
        <v>1.06E-2</v>
      </c>
      <c r="AJ7" s="5">
        <v>0.25650000000000001</v>
      </c>
      <c r="AK7" s="5">
        <v>4.99E-2</v>
      </c>
      <c r="AM7" s="6">
        <v>-5.7099999999999998E-2</v>
      </c>
      <c r="AN7" s="5">
        <v>2.2200000000000001E-2</v>
      </c>
      <c r="AP7" s="6">
        <v>-8.6899999999999991E-2</v>
      </c>
      <c r="AQ7" s="6">
        <v>-2.1600000000000001E-2</v>
      </c>
      <c r="AS7" s="5">
        <v>0.1072</v>
      </c>
      <c r="AT7" s="5">
        <v>0.22170000000000001</v>
      </c>
      <c r="AU7" s="4">
        <v>1.7060410156834939E-2</v>
      </c>
      <c r="AV7" s="5">
        <v>0.48870000000000002</v>
      </c>
      <c r="AW7" s="5">
        <v>0.1426</v>
      </c>
      <c r="AX7" s="4">
        <v>2.1820623343951741E-3</v>
      </c>
      <c r="AY7" s="5">
        <v>0.30009999999999998</v>
      </c>
      <c r="AZ7" s="5">
        <v>0.18490000000000001</v>
      </c>
      <c r="BA7" s="4">
        <v>5.7678323794157884E-3</v>
      </c>
      <c r="BB7" s="5">
        <v>1.3424</v>
      </c>
      <c r="BC7" s="5">
        <v>0.34020000000000011</v>
      </c>
    </row>
    <row r="8" spans="1:76" x14ac:dyDescent="0.2">
      <c r="A8" s="2">
        <v>44788</v>
      </c>
      <c r="B8" t="s">
        <v>141</v>
      </c>
      <c r="C8" t="s">
        <v>84</v>
      </c>
      <c r="D8" s="4">
        <v>8.7400000000000005E-2</v>
      </c>
      <c r="E8" s="4">
        <v>3.6429105209544531E-2</v>
      </c>
      <c r="F8" s="6">
        <v>-0.36859999999999998</v>
      </c>
      <c r="G8" s="6">
        <v>-0.11269999999999999</v>
      </c>
      <c r="H8" s="4">
        <v>6.2583921495783984E-2</v>
      </c>
      <c r="I8" s="5">
        <v>0.57140000000000002</v>
      </c>
      <c r="J8" s="5">
        <v>0.17</v>
      </c>
      <c r="K8" s="4">
        <v>1.852921554328393E-2</v>
      </c>
      <c r="L8" s="5">
        <v>0.33079999999999998</v>
      </c>
      <c r="M8" s="6">
        <v>-3.0000000000000001E-3</v>
      </c>
      <c r="O8" s="5">
        <v>0.28189999999999998</v>
      </c>
      <c r="P8" s="5">
        <v>0.1946</v>
      </c>
      <c r="Q8" s="4">
        <v>3.7031367114743433E-2</v>
      </c>
      <c r="R8" s="5">
        <v>9.8400000000000001E-2</v>
      </c>
      <c r="S8" s="5">
        <v>6.9199999999999998E-2</v>
      </c>
      <c r="U8" s="5">
        <v>0.4073</v>
      </c>
      <c r="V8" s="5">
        <v>0.26960000000000001</v>
      </c>
      <c r="X8" s="5">
        <v>1.8499999999999999E-2</v>
      </c>
      <c r="Y8" s="5">
        <v>0.15049999999999999</v>
      </c>
      <c r="Z8" s="4">
        <v>1.3767538819814649E-2</v>
      </c>
      <c r="AA8" s="5">
        <v>9.5000000000000001E-2</v>
      </c>
      <c r="AB8" s="5">
        <v>1.06E-2</v>
      </c>
      <c r="AD8" s="5">
        <v>9.6699999999999994E-2</v>
      </c>
      <c r="AE8" s="5">
        <v>4.99E-2</v>
      </c>
      <c r="AG8" s="5">
        <v>0.27739999999999998</v>
      </c>
      <c r="AH8" s="5">
        <v>2.2200000000000001E-2</v>
      </c>
      <c r="AI8" s="4">
        <v>4.195554955874406E-2</v>
      </c>
      <c r="AJ8" s="6">
        <v>-0.12520000000000001</v>
      </c>
      <c r="AK8" s="6">
        <v>-2.1600000000000001E-2</v>
      </c>
      <c r="AL8" s="4">
        <v>2.9561800245329541E-2</v>
      </c>
      <c r="AM8" s="5">
        <v>0.21560000000000001</v>
      </c>
      <c r="AN8" s="5">
        <v>0.22170000000000001</v>
      </c>
      <c r="AO8" s="4">
        <v>9.4527946209325558E-3</v>
      </c>
      <c r="AP8" s="6">
        <v>-0.22020000000000001</v>
      </c>
      <c r="AQ8" s="5">
        <v>0.1426</v>
      </c>
      <c r="AS8" s="5">
        <v>4.9799999999999997E-2</v>
      </c>
      <c r="AT8" s="5">
        <v>0.18490000000000001</v>
      </c>
      <c r="AV8" s="6">
        <v>-4.3099999999999999E-2</v>
      </c>
      <c r="AW8" s="5">
        <v>0.34020000000000011</v>
      </c>
    </row>
    <row r="9" spans="1:76" x14ac:dyDescent="0.2">
      <c r="A9" s="2">
        <v>44788</v>
      </c>
      <c r="B9" t="s">
        <v>142</v>
      </c>
      <c r="C9" t="s">
        <v>84</v>
      </c>
      <c r="D9" s="4">
        <v>3.4200000000000001E-2</v>
      </c>
      <c r="F9" s="6">
        <v>-2.3E-3</v>
      </c>
      <c r="G9" s="6">
        <v>-0.11269999999999999</v>
      </c>
      <c r="I9" s="5">
        <v>0.13869999999999999</v>
      </c>
      <c r="J9" s="5">
        <v>0.17</v>
      </c>
      <c r="L9" s="5">
        <v>9.64E-2</v>
      </c>
      <c r="M9" s="6">
        <v>-3.0000000000000001E-3</v>
      </c>
      <c r="O9" s="5">
        <v>0.19239999999999999</v>
      </c>
      <c r="P9" s="5">
        <v>0.1946</v>
      </c>
      <c r="R9" s="5">
        <v>8.3000000000000001E-3</v>
      </c>
      <c r="S9" s="5">
        <v>6.9199999999999998E-2</v>
      </c>
      <c r="T9" s="4">
        <v>3.0209516872384878E-2</v>
      </c>
      <c r="U9" s="6">
        <v>-1.2E-2</v>
      </c>
      <c r="V9" s="5">
        <v>0.26960000000000001</v>
      </c>
      <c r="X9" s="5">
        <v>6.7900000000000002E-2</v>
      </c>
      <c r="Y9" s="5">
        <v>0.15049999999999999</v>
      </c>
      <c r="AA9" s="5">
        <v>0.11799999999999999</v>
      </c>
      <c r="AB9" s="5">
        <v>1.06E-2</v>
      </c>
      <c r="AD9" s="5">
        <v>0.38250000000000001</v>
      </c>
      <c r="AE9" s="5">
        <v>4.99E-2</v>
      </c>
      <c r="AG9" s="6">
        <v>-6.6500000000000004E-2</v>
      </c>
      <c r="AH9" s="5">
        <v>2.2200000000000001E-2</v>
      </c>
      <c r="AJ9" s="6">
        <v>-8.1500000000000003E-2</v>
      </c>
      <c r="AK9" s="6">
        <v>-2.1600000000000001E-2</v>
      </c>
      <c r="AM9" s="5">
        <v>0.54</v>
      </c>
      <c r="AN9" s="5">
        <v>0.22170000000000001</v>
      </c>
      <c r="AP9" s="6">
        <v>-8.8699999999999987E-2</v>
      </c>
      <c r="AQ9" s="5">
        <v>0.1426</v>
      </c>
      <c r="AS9" s="6">
        <v>-0.30730000000000002</v>
      </c>
      <c r="AT9" s="5">
        <v>0.18490000000000001</v>
      </c>
      <c r="AV9" s="5">
        <v>0.2162</v>
      </c>
      <c r="AW9" s="5">
        <v>0.34020000000000011</v>
      </c>
    </row>
    <row r="10" spans="1:76" x14ac:dyDescent="0.2">
      <c r="A10" s="2">
        <v>44879</v>
      </c>
      <c r="B10" t="s">
        <v>140</v>
      </c>
      <c r="C10" t="s">
        <v>82</v>
      </c>
      <c r="D10" s="4">
        <v>5.5399999999999998E-2</v>
      </c>
      <c r="E10" s="4">
        <v>9.2886029315251847E-2</v>
      </c>
      <c r="F10" s="5">
        <v>0.16889999999999999</v>
      </c>
      <c r="G10" s="5">
        <v>0.17</v>
      </c>
      <c r="H10" s="4">
        <v>0.1160934077448212</v>
      </c>
      <c r="I10" s="5">
        <v>0.13320000000000001</v>
      </c>
      <c r="J10" s="6">
        <v>-3.0000000000000001E-3</v>
      </c>
      <c r="K10" s="4">
        <v>3.5032396046323078E-2</v>
      </c>
      <c r="L10" s="5">
        <v>0.1497</v>
      </c>
      <c r="M10" s="5">
        <v>0.1946</v>
      </c>
      <c r="N10" s="4">
        <v>0.11503127978022901</v>
      </c>
      <c r="O10" s="5">
        <v>7.0499999999999993E-2</v>
      </c>
      <c r="P10" s="5">
        <v>6.9199999999999998E-2</v>
      </c>
      <c r="Q10" s="4">
        <v>6.844211211829733E-2</v>
      </c>
      <c r="R10" s="5">
        <v>0.49070000000000003</v>
      </c>
      <c r="S10" s="5">
        <v>0.26960000000000001</v>
      </c>
      <c r="T10" s="4">
        <v>4.1671830708773942E-2</v>
      </c>
      <c r="U10" s="6">
        <v>-0.1065</v>
      </c>
      <c r="V10" s="5">
        <v>0.15049999999999999</v>
      </c>
      <c r="W10" s="4">
        <v>5.5103740450354453E-2</v>
      </c>
      <c r="X10" s="6">
        <v>-0.11849999999999999</v>
      </c>
      <c r="Y10" s="5">
        <v>1.06E-2</v>
      </c>
      <c r="Z10" s="4">
        <v>8.6224359728782257E-2</v>
      </c>
      <c r="AA10" s="6">
        <v>-1.3599999999999999E-2</v>
      </c>
      <c r="AB10" s="5">
        <v>4.99E-2</v>
      </c>
      <c r="AC10" s="4">
        <v>5.0837351512648447E-2</v>
      </c>
      <c r="AD10" s="6">
        <v>-0.18540000000000001</v>
      </c>
      <c r="AE10" s="5">
        <v>2.2200000000000001E-2</v>
      </c>
      <c r="AF10" s="4">
        <v>6.5589983075972663E-2</v>
      </c>
      <c r="AG10" s="5">
        <v>1.67E-2</v>
      </c>
      <c r="AH10" s="6">
        <v>-2.1600000000000001E-2</v>
      </c>
      <c r="AI10" s="4">
        <v>6.8372126450748888E-2</v>
      </c>
      <c r="AJ10" s="5">
        <v>0.5736</v>
      </c>
      <c r="AK10" s="5">
        <v>0.22170000000000001</v>
      </c>
      <c r="AL10" s="4">
        <v>1.069285523732667E-2</v>
      </c>
      <c r="AM10" s="5">
        <v>0.36399999999999999</v>
      </c>
      <c r="AN10" s="5">
        <v>0.1426</v>
      </c>
      <c r="AP10" s="6">
        <v>-0.1772</v>
      </c>
      <c r="AQ10" s="5">
        <v>0.18490000000000001</v>
      </c>
      <c r="AS10" s="5">
        <v>1.073</v>
      </c>
      <c r="AT10" s="5">
        <v>0.34020000000000011</v>
      </c>
    </row>
    <row r="11" spans="1:76" x14ac:dyDescent="0.2">
      <c r="A11" s="2">
        <v>44879</v>
      </c>
      <c r="B11" t="s">
        <v>95</v>
      </c>
      <c r="C11" t="s">
        <v>94</v>
      </c>
      <c r="D11" s="4">
        <v>2.41E-2</v>
      </c>
      <c r="E11" s="4">
        <v>3.9801663643990987E-2</v>
      </c>
      <c r="F11" s="5">
        <v>8.0000000000000002E-3</v>
      </c>
      <c r="G11" s="5">
        <v>0.17</v>
      </c>
      <c r="H11" s="4">
        <v>5.6732914265015172E-2</v>
      </c>
      <c r="I11" s="6">
        <v>-0.24579999999999999</v>
      </c>
      <c r="J11" s="6">
        <v>-3.0000000000000001E-3</v>
      </c>
      <c r="K11" s="4">
        <v>7.4668595125609943E-2</v>
      </c>
      <c r="L11" s="5">
        <v>0.55120000000000002</v>
      </c>
      <c r="M11" s="5">
        <v>0.1946</v>
      </c>
      <c r="N11" s="4">
        <v>9.0735289196196417E-2</v>
      </c>
      <c r="O11" s="5">
        <v>3.3300000000000003E-2</v>
      </c>
      <c r="P11" s="5">
        <v>6.9199999999999998E-2</v>
      </c>
      <c r="Q11" s="4">
        <v>6.4351426917532081E-2</v>
      </c>
      <c r="R11" s="5">
        <v>0.1207</v>
      </c>
      <c r="S11" s="5">
        <v>0.26960000000000001</v>
      </c>
      <c r="T11" s="4">
        <v>3.1903283198031762E-2</v>
      </c>
      <c r="U11" s="5">
        <v>0.40439999999999998</v>
      </c>
      <c r="V11" s="5">
        <v>0.15049999999999999</v>
      </c>
      <c r="W11" s="4">
        <v>3.2441770782569393E-2</v>
      </c>
      <c r="X11" s="5">
        <v>1.1900000000000001E-2</v>
      </c>
      <c r="Y11" s="5">
        <v>1.06E-2</v>
      </c>
      <c r="AA11" s="6">
        <v>-0.1736</v>
      </c>
      <c r="AB11" s="5">
        <v>4.99E-2</v>
      </c>
      <c r="AD11" s="5">
        <v>0.36059999999999998</v>
      </c>
      <c r="AE11" s="5">
        <v>2.2200000000000001E-2</v>
      </c>
      <c r="AG11" s="6">
        <v>-0.1817</v>
      </c>
      <c r="AH11" s="6">
        <v>-2.1600000000000001E-2</v>
      </c>
      <c r="AI11" s="4">
        <v>5.6762295968588027E-2</v>
      </c>
      <c r="AJ11" s="5">
        <v>4.2699999999999988E-2</v>
      </c>
      <c r="AK11" s="5">
        <v>0.22170000000000001</v>
      </c>
      <c r="AL11" s="4">
        <v>6.6894676836821945E-2</v>
      </c>
      <c r="AM11" s="5">
        <v>0.4622</v>
      </c>
      <c r="AN11" s="5">
        <v>0.1426</v>
      </c>
      <c r="AO11" s="4">
        <v>3.4208380191871682E-2</v>
      </c>
      <c r="AP11" s="6">
        <v>-0.14069999999999999</v>
      </c>
      <c r="AQ11" s="5">
        <v>0.18490000000000001</v>
      </c>
      <c r="AS11" s="5">
        <v>6.0299999999999999E-2</v>
      </c>
      <c r="AT11" s="5">
        <v>0.34020000000000011</v>
      </c>
    </row>
    <row r="12" spans="1:76" x14ac:dyDescent="0.2">
      <c r="A12" s="2">
        <v>44971</v>
      </c>
      <c r="B12" t="s">
        <v>83</v>
      </c>
      <c r="C12" t="s">
        <v>82</v>
      </c>
      <c r="D12" s="4">
        <v>2.1399999999999999E-2</v>
      </c>
      <c r="F12" s="5">
        <v>0.2606</v>
      </c>
      <c r="G12" s="6">
        <v>-3.0000000000000001E-3</v>
      </c>
      <c r="I12" s="5">
        <v>0.51129999999999998</v>
      </c>
      <c r="J12" s="5">
        <v>0.1946</v>
      </c>
      <c r="L12" s="5">
        <v>0.13500000000000001</v>
      </c>
      <c r="M12" s="5">
        <v>6.9199999999999998E-2</v>
      </c>
      <c r="O12" s="5">
        <v>0.48840000000000011</v>
      </c>
      <c r="P12" s="5">
        <v>0.26960000000000001</v>
      </c>
      <c r="R12" s="5">
        <v>0.28060000000000002</v>
      </c>
      <c r="S12" s="5">
        <v>0.15049999999999999</v>
      </c>
      <c r="U12" s="5">
        <v>0.24790000000000001</v>
      </c>
      <c r="V12" s="5">
        <v>1.06E-2</v>
      </c>
      <c r="X12" s="5">
        <v>0.24299999999999999</v>
      </c>
      <c r="Y12" s="5">
        <v>4.99E-2</v>
      </c>
      <c r="AA12" s="6">
        <v>-5.3800000000000001E-2</v>
      </c>
      <c r="AB12" s="5">
        <v>2.2200000000000001E-2</v>
      </c>
      <c r="AC12" s="4">
        <v>3.5718771124965049E-2</v>
      </c>
      <c r="AD12" s="6">
        <v>-2.8899999999999999E-2</v>
      </c>
      <c r="AE12" s="6">
        <v>-2.1600000000000001E-2</v>
      </c>
      <c r="AF12" s="4">
        <v>3.0242444495625471E-2</v>
      </c>
      <c r="AG12" s="5">
        <v>0.35010000000000002</v>
      </c>
      <c r="AH12" s="5">
        <v>0.22170000000000001</v>
      </c>
      <c r="AI12" s="4">
        <v>2.0883706652100799E-2</v>
      </c>
      <c r="AJ12" s="5">
        <v>4.4800000000000013E-2</v>
      </c>
      <c r="AK12" s="5">
        <v>0.1426</v>
      </c>
      <c r="AL12" s="4">
        <v>4.3875282273435567E-2</v>
      </c>
      <c r="AM12" s="6">
        <v>-2.7300000000000001E-2</v>
      </c>
      <c r="AN12" s="5">
        <v>0.18490000000000001</v>
      </c>
      <c r="AO12" s="4">
        <v>4.3531750318210702E-2</v>
      </c>
      <c r="AP12" s="5">
        <v>0.20200000000000001</v>
      </c>
      <c r="AQ12" s="5">
        <v>0.34020000000000011</v>
      </c>
    </row>
    <row r="13" spans="1:76" x14ac:dyDescent="0.2">
      <c r="A13" s="2">
        <v>45244</v>
      </c>
      <c r="B13" t="s">
        <v>143</v>
      </c>
      <c r="C13" t="s">
        <v>84</v>
      </c>
      <c r="D13" s="4">
        <v>6.7000000000000004E-2</v>
      </c>
      <c r="E13" s="4">
        <v>1.7989286124661118E-2</v>
      </c>
      <c r="F13" s="5">
        <v>0.11020000000000001</v>
      </c>
      <c r="G13" s="5">
        <v>0.26960000000000001</v>
      </c>
      <c r="H13" s="4">
        <v>1.7211698290468661E-2</v>
      </c>
      <c r="I13" s="5">
        <v>3.5099999999999999E-2</v>
      </c>
      <c r="J13" s="5">
        <v>0.15049999999999999</v>
      </c>
      <c r="L13" s="6">
        <v>-1.47E-2</v>
      </c>
      <c r="M13" s="5">
        <v>1.06E-2</v>
      </c>
      <c r="O13" s="5">
        <v>2.5899999999999999E-2</v>
      </c>
      <c r="P13" s="5">
        <v>4.99E-2</v>
      </c>
      <c r="Q13" s="4">
        <v>2.9474985178785142E-2</v>
      </c>
      <c r="R13" s="6">
        <v>-4.1300000000000003E-2</v>
      </c>
      <c r="S13" s="5">
        <v>2.2200000000000001E-2</v>
      </c>
      <c r="T13" s="4">
        <v>4.7878321923199463E-2</v>
      </c>
      <c r="U13" s="5">
        <v>0.1137</v>
      </c>
      <c r="V13" s="6">
        <v>-2.1600000000000001E-2</v>
      </c>
      <c r="X13" s="5">
        <v>0.153</v>
      </c>
      <c r="Y13" s="5">
        <v>0.22170000000000001</v>
      </c>
      <c r="AA13" s="6">
        <v>-2.1899999999999999E-2</v>
      </c>
      <c r="AB13" s="5">
        <v>0.1426</v>
      </c>
      <c r="AC13" s="4">
        <v>1.0724141741668729E-2</v>
      </c>
      <c r="AD13" s="6">
        <v>-0.22070000000000001</v>
      </c>
      <c r="AE13" s="5">
        <v>0.18490000000000001</v>
      </c>
      <c r="AG13" s="5">
        <v>6.9699999999999998E-2</v>
      </c>
      <c r="AH13" s="5">
        <v>0.34020000000000011</v>
      </c>
    </row>
    <row r="14" spans="1:76" x14ac:dyDescent="0.2">
      <c r="A14" s="2">
        <v>45244</v>
      </c>
      <c r="B14" t="s">
        <v>144</v>
      </c>
      <c r="C14" t="s">
        <v>84</v>
      </c>
      <c r="D14" s="4">
        <v>5.3099999999999987E-2</v>
      </c>
      <c r="F14" s="5">
        <v>9.2200000000000004E-2</v>
      </c>
      <c r="G14" s="5">
        <v>0.26960000000000001</v>
      </c>
      <c r="H14" s="4">
        <v>3.0670159075795629E-2</v>
      </c>
      <c r="I14" s="5">
        <v>0.18210000000000001</v>
      </c>
      <c r="J14" s="5">
        <v>0.15049999999999999</v>
      </c>
      <c r="K14" s="4">
        <v>3.1968918822323812E-2</v>
      </c>
      <c r="L14" s="6">
        <v>-6.93E-2</v>
      </c>
      <c r="M14" s="5">
        <v>1.06E-2</v>
      </c>
      <c r="N14" s="4">
        <v>9.2693283624162241E-3</v>
      </c>
      <c r="O14" s="5">
        <v>9.6300000000000011E-2</v>
      </c>
      <c r="P14" s="5">
        <v>4.99E-2</v>
      </c>
      <c r="Q14" s="4">
        <v>1.8388272265101192E-2</v>
      </c>
      <c r="R14" s="5">
        <v>5.62E-2</v>
      </c>
      <c r="S14" s="5">
        <v>2.2200000000000001E-2</v>
      </c>
      <c r="T14" s="4">
        <v>8.8761956167540765E-3</v>
      </c>
      <c r="U14" s="6">
        <v>-0.1138</v>
      </c>
      <c r="V14" s="6">
        <v>-2.1600000000000001E-2</v>
      </c>
      <c r="W14" s="4">
        <v>4.649988531777683E-2</v>
      </c>
      <c r="X14" s="5">
        <v>0.2392</v>
      </c>
      <c r="Y14" s="5">
        <v>0.22170000000000001</v>
      </c>
      <c r="Z14" s="4">
        <v>2.6051745196873699E-2</v>
      </c>
      <c r="AA14" s="5">
        <v>0.36320000000000002</v>
      </c>
      <c r="AB14" s="5">
        <v>0.1426</v>
      </c>
      <c r="AC14" s="4">
        <v>1.9672159385315021E-2</v>
      </c>
      <c r="AD14" s="5">
        <v>9.3399999999999997E-2</v>
      </c>
      <c r="AE14" s="5">
        <v>0.18490000000000001</v>
      </c>
      <c r="AF14" s="4">
        <v>3.1906455165274343E-2</v>
      </c>
      <c r="AG14" s="5">
        <v>0.31519999999999998</v>
      </c>
      <c r="AH14" s="5">
        <v>0.34020000000000011</v>
      </c>
    </row>
    <row r="15" spans="1:76" x14ac:dyDescent="0.2">
      <c r="A15" s="2">
        <v>45244</v>
      </c>
      <c r="B15" t="s">
        <v>141</v>
      </c>
      <c r="C15" t="s">
        <v>84</v>
      </c>
      <c r="D15" s="4">
        <v>3.7000000000000012E-2</v>
      </c>
      <c r="F15" s="5">
        <v>0.4073</v>
      </c>
      <c r="G15" s="5">
        <v>0.26960000000000001</v>
      </c>
      <c r="I15" s="5">
        <v>1.8499999999999999E-2</v>
      </c>
      <c r="J15" s="5">
        <v>0.15049999999999999</v>
      </c>
      <c r="K15" s="4">
        <v>1.3767538819814649E-2</v>
      </c>
      <c r="L15" s="5">
        <v>9.5000000000000001E-2</v>
      </c>
      <c r="M15" s="5">
        <v>1.06E-2</v>
      </c>
      <c r="O15" s="5">
        <v>9.6699999999999994E-2</v>
      </c>
      <c r="P15" s="5">
        <v>4.99E-2</v>
      </c>
      <c r="R15" s="5">
        <v>0.27739999999999998</v>
      </c>
      <c r="S15" s="5">
        <v>2.2200000000000001E-2</v>
      </c>
      <c r="T15" s="4">
        <v>4.195554955874406E-2</v>
      </c>
      <c r="U15" s="6">
        <v>-0.12520000000000001</v>
      </c>
      <c r="V15" s="6">
        <v>-2.1600000000000001E-2</v>
      </c>
      <c r="W15" s="4">
        <v>2.9561800245329541E-2</v>
      </c>
      <c r="X15" s="5">
        <v>0.21560000000000001</v>
      </c>
      <c r="Y15" s="5">
        <v>0.22170000000000001</v>
      </c>
      <c r="Z15" s="4">
        <v>9.4527946209325558E-3</v>
      </c>
      <c r="AA15" s="6">
        <v>-0.22020000000000001</v>
      </c>
      <c r="AB15" s="5">
        <v>0.1426</v>
      </c>
      <c r="AD15" s="5">
        <v>4.9799999999999997E-2</v>
      </c>
      <c r="AE15" s="5">
        <v>0.18490000000000001</v>
      </c>
      <c r="AG15" s="6">
        <v>-4.3099999999999999E-2</v>
      </c>
      <c r="AH15" s="5">
        <v>0.34020000000000011</v>
      </c>
    </row>
    <row r="16" spans="1:76" x14ac:dyDescent="0.2">
      <c r="A16" s="2">
        <v>45244</v>
      </c>
      <c r="B16" t="s">
        <v>145</v>
      </c>
      <c r="C16" t="s">
        <v>98</v>
      </c>
      <c r="D16" s="4">
        <v>2.5499999999999998E-2</v>
      </c>
      <c r="E16" s="4">
        <v>3.7703900929999243E-2</v>
      </c>
      <c r="F16" s="5">
        <v>0.25640000000000002</v>
      </c>
      <c r="G16" s="5">
        <v>0.26960000000000001</v>
      </c>
      <c r="H16" s="4">
        <v>3.5815829601832043E-2</v>
      </c>
      <c r="I16" s="6">
        <v>-0.14050000000000001</v>
      </c>
      <c r="J16" s="5">
        <v>0.15049999999999999</v>
      </c>
      <c r="K16" s="4">
        <v>5.6521593558046833E-2</v>
      </c>
      <c r="L16" s="5">
        <v>1.44E-2</v>
      </c>
      <c r="M16" s="5">
        <v>1.06E-2</v>
      </c>
      <c r="N16" s="4">
        <v>3.4799534673727622E-2</v>
      </c>
      <c r="O16" s="5">
        <v>0.39419999999999999</v>
      </c>
      <c r="P16" s="5">
        <v>4.99E-2</v>
      </c>
      <c r="Q16" s="4">
        <v>1.3919014830093531E-3</v>
      </c>
      <c r="R16" s="5">
        <v>0.28749999999999998</v>
      </c>
      <c r="S16" s="5">
        <v>2.2200000000000001E-2</v>
      </c>
      <c r="U16" s="6">
        <v>-0.1114</v>
      </c>
      <c r="V16" s="6">
        <v>-2.1600000000000001E-2</v>
      </c>
      <c r="W16" s="4">
        <v>2.8500170236818841E-2</v>
      </c>
      <c r="X16" s="5">
        <v>0.14560000000000001</v>
      </c>
      <c r="Y16" s="5">
        <v>0.22170000000000001</v>
      </c>
      <c r="Z16" s="4">
        <v>3.9739190064240523E-2</v>
      </c>
      <c r="AA16" s="5">
        <v>1.097</v>
      </c>
      <c r="AB16" s="5">
        <v>0.1426</v>
      </c>
      <c r="AC16" s="4">
        <v>4.0816043813142251E-2</v>
      </c>
      <c r="AD16" s="5">
        <v>0.57700000000000007</v>
      </c>
      <c r="AE16" s="5">
        <v>0.18490000000000001</v>
      </c>
      <c r="AF16" s="4">
        <v>5.2528262412464277E-2</v>
      </c>
      <c r="AG16" s="5">
        <v>0.73499999999999999</v>
      </c>
      <c r="AH16" s="5">
        <v>0.34020000000000011</v>
      </c>
    </row>
    <row r="17" spans="1:31" x14ac:dyDescent="0.2">
      <c r="A17" s="2">
        <v>45336</v>
      </c>
      <c r="B17" t="s">
        <v>142</v>
      </c>
      <c r="C17" t="s">
        <v>84</v>
      </c>
      <c r="D17" s="4">
        <v>3.0200000000000001E-2</v>
      </c>
      <c r="F17" s="5">
        <v>6.7900000000000002E-2</v>
      </c>
      <c r="G17" s="5">
        <v>0.15049999999999999</v>
      </c>
      <c r="I17" s="5">
        <v>0.11799999999999999</v>
      </c>
      <c r="J17" s="5">
        <v>1.06E-2</v>
      </c>
      <c r="L17" s="5">
        <v>0.38250000000000001</v>
      </c>
      <c r="M17" s="5">
        <v>4.99E-2</v>
      </c>
      <c r="O17" s="6">
        <v>-6.6500000000000004E-2</v>
      </c>
      <c r="P17" s="5">
        <v>2.2200000000000001E-2</v>
      </c>
      <c r="R17" s="6">
        <v>-8.1500000000000003E-2</v>
      </c>
      <c r="S17" s="6">
        <v>-2.1600000000000001E-2</v>
      </c>
      <c r="U17" s="5">
        <v>0.54</v>
      </c>
      <c r="V17" s="5">
        <v>0.22170000000000001</v>
      </c>
      <c r="X17" s="6">
        <v>-8.8699999999999987E-2</v>
      </c>
      <c r="Y17" s="5">
        <v>0.1426</v>
      </c>
      <c r="AA17" s="6">
        <v>-0.30730000000000002</v>
      </c>
      <c r="AB17" s="5">
        <v>0.18490000000000001</v>
      </c>
      <c r="AD17" s="5">
        <v>0.2162</v>
      </c>
      <c r="AE17" s="5">
        <v>0.34020000000000011</v>
      </c>
    </row>
    <row r="18" spans="1:31" x14ac:dyDescent="0.2">
      <c r="A18" s="2">
        <v>45336</v>
      </c>
      <c r="B18" t="s">
        <v>139</v>
      </c>
      <c r="C18" t="s">
        <v>84</v>
      </c>
      <c r="D18" s="4">
        <v>2.1100000000000001E-2</v>
      </c>
      <c r="E18" s="4">
        <v>3.3705300060655932E-2</v>
      </c>
      <c r="F18" s="5">
        <v>8.7799999999999989E-2</v>
      </c>
      <c r="G18" s="5">
        <v>0.15049999999999999</v>
      </c>
      <c r="H18" s="4">
        <v>4.9451951454637863E-2</v>
      </c>
      <c r="I18" s="6">
        <v>-8.539999999999999E-2</v>
      </c>
      <c r="J18" s="5">
        <v>1.06E-2</v>
      </c>
      <c r="K18" s="4">
        <v>4.4171994830388833E-2</v>
      </c>
      <c r="L18" s="5">
        <v>0.24329999999999999</v>
      </c>
      <c r="M18" s="5">
        <v>4.99E-2</v>
      </c>
      <c r="N18" s="4">
        <v>3.2702006452399859E-2</v>
      </c>
      <c r="O18" s="5">
        <v>8.1300000000000011E-2</v>
      </c>
      <c r="P18" s="5">
        <v>2.2200000000000001E-2</v>
      </c>
      <c r="Q18" s="4">
        <v>3.9808757250047268E-2</v>
      </c>
      <c r="R18" s="6">
        <v>-0.1028</v>
      </c>
      <c r="S18" s="6">
        <v>-2.1600000000000001E-2</v>
      </c>
      <c r="T18" s="4">
        <v>4.3739957979591619E-2</v>
      </c>
      <c r="U18" s="5">
        <v>0.1258</v>
      </c>
      <c r="V18" s="5">
        <v>0.22170000000000001</v>
      </c>
      <c r="W18" s="4">
        <v>2.817521253422722E-2</v>
      </c>
      <c r="X18" s="5">
        <v>1.61E-2</v>
      </c>
      <c r="Y18" s="5">
        <v>0.1426</v>
      </c>
      <c r="Z18" s="4">
        <v>1.9399619729278429E-2</v>
      </c>
      <c r="AA18" s="6">
        <v>-0.1429</v>
      </c>
      <c r="AB18" s="5">
        <v>0.18490000000000001</v>
      </c>
      <c r="AC18" s="4">
        <v>3.9702133204779083E-2</v>
      </c>
      <c r="AD18" s="5">
        <v>0.31669999999999998</v>
      </c>
      <c r="AE18" s="5">
        <v>0.34020000000000011</v>
      </c>
    </row>
    <row r="19" spans="1:31" x14ac:dyDescent="0.2">
      <c r="A19" s="2">
        <v>45427</v>
      </c>
      <c r="B19" t="s">
        <v>146</v>
      </c>
      <c r="C19" t="s">
        <v>82</v>
      </c>
      <c r="D19" s="4">
        <v>6.7699999999999996E-2</v>
      </c>
      <c r="E19" s="4">
        <v>5.7793371108412067E-2</v>
      </c>
      <c r="F19" s="6">
        <v>-8.9900000000000008E-2</v>
      </c>
      <c r="G19" s="5">
        <v>1.06E-2</v>
      </c>
      <c r="I19" s="5">
        <v>0.42299999999999999</v>
      </c>
      <c r="J19" s="5">
        <v>4.99E-2</v>
      </c>
      <c r="L19" s="5">
        <v>0.1749</v>
      </c>
      <c r="M19" s="5">
        <v>2.2200000000000001E-2</v>
      </c>
      <c r="O19" s="6">
        <v>-0.38719999999999999</v>
      </c>
      <c r="P19" s="6">
        <v>-2.1600000000000001E-2</v>
      </c>
      <c r="R19" s="5">
        <v>0.21329999999999999</v>
      </c>
      <c r="S19" s="5">
        <v>0.22170000000000001</v>
      </c>
      <c r="U19" s="5">
        <v>9.4499999999999987E-2</v>
      </c>
      <c r="V19" s="5">
        <v>0.1426</v>
      </c>
      <c r="X19" s="6">
        <v>-8.539999999999999E-2</v>
      </c>
      <c r="Y19" s="5">
        <v>0.18490000000000001</v>
      </c>
      <c r="AA19" s="5">
        <v>1.1392</v>
      </c>
      <c r="AB19" s="5">
        <v>0.34020000000000011</v>
      </c>
    </row>
    <row r="20" spans="1:31" x14ac:dyDescent="0.2">
      <c r="A20" s="2">
        <v>45427</v>
      </c>
      <c r="B20" t="s">
        <v>101</v>
      </c>
      <c r="C20" t="s">
        <v>100</v>
      </c>
      <c r="D20" s="4">
        <v>4.4900000000000002E-2</v>
      </c>
      <c r="E20" s="4">
        <v>5.486190847349566E-2</v>
      </c>
      <c r="F20" s="6">
        <v>-0.49809999999999999</v>
      </c>
      <c r="G20" s="5">
        <v>1.06E-2</v>
      </c>
      <c r="H20" s="4">
        <v>9.5618234344453198E-2</v>
      </c>
      <c r="I20" s="5">
        <v>1.2770999999999999</v>
      </c>
      <c r="J20" s="5">
        <v>4.99E-2</v>
      </c>
      <c r="K20" s="4">
        <v>5.3266797047628441E-2</v>
      </c>
      <c r="L20" s="6">
        <v>-7.1999999999999998E-3</v>
      </c>
      <c r="M20" s="5">
        <v>2.2200000000000001E-2</v>
      </c>
      <c r="N20" s="4">
        <v>8.4272662370772855E-2</v>
      </c>
      <c r="O20" s="5">
        <v>4.9400000000000013E-2</v>
      </c>
      <c r="P20" s="6">
        <v>-2.1600000000000001E-2</v>
      </c>
      <c r="Q20" s="4">
        <v>2.3956595450810539E-2</v>
      </c>
      <c r="R20" s="5">
        <v>1.0684</v>
      </c>
      <c r="S20" s="5">
        <v>0.22170000000000001</v>
      </c>
      <c r="T20" s="4">
        <v>2.3661288585827742E-3</v>
      </c>
      <c r="U20" s="6">
        <v>-0.24310000000000001</v>
      </c>
      <c r="V20" s="5">
        <v>0.1426</v>
      </c>
      <c r="W20" s="4">
        <v>3.2753294382213992E-2</v>
      </c>
      <c r="X20" s="6">
        <v>-0.1431</v>
      </c>
      <c r="Y20" s="5">
        <v>0.18490000000000001</v>
      </c>
      <c r="Z20" s="4">
        <v>7.3745628822782822E-2</v>
      </c>
      <c r="AA20" s="5">
        <v>0.74290000000000012</v>
      </c>
      <c r="AB20" s="5">
        <v>0.34020000000000011</v>
      </c>
    </row>
    <row r="21" spans="1:31" x14ac:dyDescent="0.2">
      <c r="A21" s="2">
        <v>45427</v>
      </c>
      <c r="B21" t="s">
        <v>87</v>
      </c>
      <c r="C21" t="s">
        <v>86</v>
      </c>
      <c r="D21" s="4">
        <v>4.1200000000000001E-2</v>
      </c>
      <c r="E21" s="4">
        <v>3.1222833796893359E-2</v>
      </c>
      <c r="F21" s="6">
        <v>-0.2137</v>
      </c>
      <c r="G21" s="5">
        <v>1.06E-2</v>
      </c>
      <c r="H21" s="4">
        <v>1.020683173145912E-2</v>
      </c>
      <c r="I21" s="6">
        <v>-1.11E-2</v>
      </c>
      <c r="J21" s="5">
        <v>4.99E-2</v>
      </c>
      <c r="K21" s="4">
        <v>4.4336326359926126E-3</v>
      </c>
      <c r="L21" s="5">
        <v>4.6999999999999993E-3</v>
      </c>
      <c r="M21" s="5">
        <v>2.2200000000000001E-2</v>
      </c>
      <c r="N21" s="4">
        <v>2.3471941842505919E-2</v>
      </c>
      <c r="O21" s="6">
        <v>-3.9600000000000003E-2</v>
      </c>
      <c r="P21" s="6">
        <v>-2.1600000000000001E-2</v>
      </c>
      <c r="Q21" s="4">
        <v>2.4104406472204298E-3</v>
      </c>
      <c r="R21" s="5">
        <v>0.31390000000000001</v>
      </c>
      <c r="S21" s="5">
        <v>0.22170000000000001</v>
      </c>
      <c r="T21" s="4">
        <v>2.3623488022934729E-2</v>
      </c>
      <c r="U21" s="5">
        <v>0.97129999999999994</v>
      </c>
      <c r="V21" s="5">
        <v>0.1426</v>
      </c>
      <c r="W21" s="4">
        <v>2.5770479406663108E-2</v>
      </c>
      <c r="X21" s="5">
        <v>0.62029999999999996</v>
      </c>
      <c r="Y21" s="5">
        <v>0.18490000000000001</v>
      </c>
      <c r="Z21" s="4">
        <v>5.1357884567679292E-2</v>
      </c>
      <c r="AA21" s="5">
        <v>0.70550000000000002</v>
      </c>
      <c r="AB21" s="5">
        <v>0.34020000000000011</v>
      </c>
    </row>
    <row r="22" spans="1:31" x14ac:dyDescent="0.2">
      <c r="A22" s="2">
        <v>45427</v>
      </c>
      <c r="B22" t="s">
        <v>144</v>
      </c>
      <c r="C22" t="s">
        <v>84</v>
      </c>
      <c r="D22" s="4">
        <v>3.0700000000000002E-2</v>
      </c>
      <c r="E22" s="4">
        <v>3.1968918822323812E-2</v>
      </c>
      <c r="F22" s="6">
        <v>-6.93E-2</v>
      </c>
      <c r="G22" s="5">
        <v>1.06E-2</v>
      </c>
      <c r="H22" s="4">
        <v>9.2693283624162241E-3</v>
      </c>
      <c r="I22" s="5">
        <v>9.6300000000000011E-2</v>
      </c>
      <c r="J22" s="5">
        <v>4.99E-2</v>
      </c>
      <c r="K22" s="4">
        <v>1.8388272265101192E-2</v>
      </c>
      <c r="L22" s="5">
        <v>5.62E-2</v>
      </c>
      <c r="M22" s="5">
        <v>2.2200000000000001E-2</v>
      </c>
      <c r="N22" s="4">
        <v>8.8761956167540765E-3</v>
      </c>
      <c r="O22" s="6">
        <v>-0.1138</v>
      </c>
      <c r="P22" s="6">
        <v>-2.1600000000000001E-2</v>
      </c>
      <c r="Q22" s="4">
        <v>4.649988531777683E-2</v>
      </c>
      <c r="R22" s="5">
        <v>0.2392</v>
      </c>
      <c r="S22" s="5">
        <v>0.22170000000000001</v>
      </c>
      <c r="T22" s="4">
        <v>2.6051745196873699E-2</v>
      </c>
      <c r="U22" s="5">
        <v>0.36320000000000002</v>
      </c>
      <c r="V22" s="5">
        <v>0.1426</v>
      </c>
      <c r="W22" s="4">
        <v>1.9672159385315021E-2</v>
      </c>
      <c r="X22" s="5">
        <v>9.3399999999999997E-2</v>
      </c>
      <c r="Y22" s="5">
        <v>0.18490000000000001</v>
      </c>
      <c r="Z22" s="4">
        <v>3.1906455165274343E-2</v>
      </c>
      <c r="AA22" s="5">
        <v>0.31519999999999998</v>
      </c>
      <c r="AB22" s="5">
        <v>0.34020000000000011</v>
      </c>
    </row>
    <row r="23" spans="1:31" x14ac:dyDescent="0.2">
      <c r="A23" s="2">
        <v>45427</v>
      </c>
      <c r="B23" t="s">
        <v>103</v>
      </c>
      <c r="C23" t="s">
        <v>102</v>
      </c>
      <c r="D23" s="4">
        <v>2.4E-2</v>
      </c>
      <c r="F23" s="6">
        <v>-0.35339999999999999</v>
      </c>
      <c r="G23" s="5">
        <v>1.06E-2</v>
      </c>
      <c r="I23" s="5">
        <v>0.1978</v>
      </c>
      <c r="J23" s="5">
        <v>4.99E-2</v>
      </c>
      <c r="K23" s="4">
        <v>1.7936946493794979E-2</v>
      </c>
      <c r="L23" s="6">
        <v>-6.7000000000000002E-3</v>
      </c>
      <c r="M23" s="5">
        <v>2.2200000000000001E-2</v>
      </c>
      <c r="N23" s="4">
        <v>9.8457605441808847E-3</v>
      </c>
      <c r="O23" s="6">
        <v>-0.34229999999999999</v>
      </c>
      <c r="P23" s="6">
        <v>-2.1600000000000001E-2</v>
      </c>
      <c r="R23" s="5">
        <v>7.2800000000000004E-2</v>
      </c>
      <c r="S23" s="5">
        <v>0.22170000000000001</v>
      </c>
      <c r="U23" s="5">
        <v>0.72540000000000004</v>
      </c>
      <c r="V23" s="5">
        <v>0.1426</v>
      </c>
      <c r="X23" s="5">
        <v>5.0000000000000001E-3</v>
      </c>
      <c r="Y23" s="5">
        <v>0.18490000000000001</v>
      </c>
      <c r="AA23" s="6">
        <v>-6.8699999999999997E-2</v>
      </c>
      <c r="AB23" s="5">
        <v>0.34020000000000011</v>
      </c>
    </row>
    <row r="24" spans="1:31" x14ac:dyDescent="0.2">
      <c r="A24" s="2">
        <v>45518</v>
      </c>
      <c r="B24" t="s">
        <v>97</v>
      </c>
      <c r="C24" t="s">
        <v>96</v>
      </c>
      <c r="D24" s="4">
        <v>4.1300000000000003E-2</v>
      </c>
      <c r="F24" s="5">
        <v>0.20880000000000001</v>
      </c>
      <c r="G24" s="5">
        <v>4.99E-2</v>
      </c>
      <c r="I24" s="5">
        <v>2.3699999999999999E-2</v>
      </c>
      <c r="J24" s="5">
        <v>2.2200000000000001E-2</v>
      </c>
      <c r="L24" s="6">
        <v>-0.18179999999999999</v>
      </c>
      <c r="M24" s="6">
        <v>-2.1600000000000001E-2</v>
      </c>
      <c r="O24" s="5">
        <v>0.21879999999999999</v>
      </c>
      <c r="P24" s="5">
        <v>0.22170000000000001</v>
      </c>
      <c r="R24" s="5">
        <v>7.6499999999999999E-2</v>
      </c>
      <c r="S24" s="5">
        <v>0.1426</v>
      </c>
      <c r="U24" s="6">
        <v>-3.1899999999999998E-2</v>
      </c>
      <c r="V24" s="5">
        <v>0.18490000000000001</v>
      </c>
      <c r="X24" s="5">
        <v>0.51170000000000004</v>
      </c>
      <c r="Y24" s="5">
        <v>0.34020000000000011</v>
      </c>
    </row>
    <row r="25" spans="1:31" x14ac:dyDescent="0.2">
      <c r="A25" s="2">
        <v>45702</v>
      </c>
      <c r="B25" t="s">
        <v>143</v>
      </c>
      <c r="C25" t="s">
        <v>84</v>
      </c>
      <c r="D25" s="4">
        <v>2.9499999999999998E-2</v>
      </c>
      <c r="E25" s="4">
        <v>4.7878321923199463E-2</v>
      </c>
      <c r="F25" s="5">
        <v>0.1137</v>
      </c>
      <c r="G25" s="6">
        <v>-2.1600000000000001E-2</v>
      </c>
      <c r="I25" s="5">
        <v>0.153</v>
      </c>
      <c r="J25" s="5">
        <v>0.22170000000000001</v>
      </c>
      <c r="L25" s="6">
        <v>-2.1899999999999999E-2</v>
      </c>
      <c r="M25" s="5">
        <v>0.1426</v>
      </c>
      <c r="N25" s="4">
        <v>1.0724141741668729E-2</v>
      </c>
      <c r="O25" s="6">
        <v>-0.22070000000000001</v>
      </c>
      <c r="P25" s="5">
        <v>0.18490000000000001</v>
      </c>
      <c r="R25" s="5">
        <v>6.9699999999999998E-2</v>
      </c>
      <c r="S25" s="5">
        <v>0.34020000000000011</v>
      </c>
    </row>
    <row r="26" spans="1:31" x14ac:dyDescent="0.2">
      <c r="A26" s="2">
        <v>45702</v>
      </c>
      <c r="B26" t="s">
        <v>147</v>
      </c>
      <c r="C26" t="s">
        <v>102</v>
      </c>
      <c r="D26" s="4">
        <v>2.5600000000000001E-2</v>
      </c>
      <c r="E26" s="4">
        <v>2.7009022160959829E-2</v>
      </c>
      <c r="F26" s="6">
        <v>-2.47E-2</v>
      </c>
      <c r="G26" s="6">
        <v>-2.1600000000000001E-2</v>
      </c>
      <c r="H26" s="4">
        <v>3.2647712349549968E-2</v>
      </c>
      <c r="I26" s="5">
        <v>6.5199999999999994E-2</v>
      </c>
      <c r="J26" s="5">
        <v>0.22170000000000001</v>
      </c>
      <c r="K26" s="4">
        <v>2.0625475610788691E-2</v>
      </c>
      <c r="L26" s="5">
        <v>0.31869999999999998</v>
      </c>
      <c r="M26" s="5">
        <v>0.1426</v>
      </c>
      <c r="N26" s="4">
        <v>1.283299697477917E-2</v>
      </c>
      <c r="O26" s="6">
        <v>-0.31090000000000001</v>
      </c>
      <c r="P26" s="5">
        <v>0.18490000000000001</v>
      </c>
      <c r="Q26" s="4">
        <v>4.3663705304359387E-3</v>
      </c>
      <c r="R26" s="6">
        <v>-7.2599999999999998E-2</v>
      </c>
      <c r="S26" s="5">
        <v>0.34020000000000011</v>
      </c>
    </row>
    <row r="27" spans="1:31" x14ac:dyDescent="0.2">
      <c r="A27" s="2">
        <v>45702</v>
      </c>
      <c r="B27" t="s">
        <v>148</v>
      </c>
      <c r="C27" t="s">
        <v>82</v>
      </c>
      <c r="D27" s="4">
        <v>2.3E-2</v>
      </c>
      <c r="F27" s="5">
        <v>1.2999999999999999E-3</v>
      </c>
      <c r="G27" s="6">
        <v>-2.1600000000000001E-2</v>
      </c>
      <c r="I27" s="5">
        <v>0.34100000000000003</v>
      </c>
      <c r="J27" s="5">
        <v>0.22170000000000001</v>
      </c>
      <c r="L27" s="5">
        <v>0.1022</v>
      </c>
      <c r="M27" s="5">
        <v>0.1426</v>
      </c>
      <c r="O27" s="6">
        <v>-2.7099999999999999E-2</v>
      </c>
      <c r="P27" s="5">
        <v>0.18490000000000001</v>
      </c>
      <c r="R27" s="5">
        <v>0.26779999999999998</v>
      </c>
      <c r="S27" s="5">
        <v>0.34020000000000011</v>
      </c>
    </row>
    <row r="28" spans="1:31" x14ac:dyDescent="0.2">
      <c r="A28" s="2">
        <v>45792</v>
      </c>
      <c r="B28" t="s">
        <v>141</v>
      </c>
      <c r="C28" t="s">
        <v>84</v>
      </c>
      <c r="D28" s="4">
        <v>4.2000000000000003E-2</v>
      </c>
      <c r="E28" s="4">
        <v>2.9561800245329541E-2</v>
      </c>
      <c r="F28" s="5">
        <v>0.21560000000000001</v>
      </c>
      <c r="G28" s="5">
        <v>0.22170000000000001</v>
      </c>
      <c r="H28" s="4">
        <v>9.4527946209325558E-3</v>
      </c>
      <c r="I28" s="6">
        <v>-0.22020000000000001</v>
      </c>
      <c r="J28" s="5">
        <v>0.1426</v>
      </c>
      <c r="L28" s="5">
        <v>4.9799999999999997E-2</v>
      </c>
      <c r="M28" s="5">
        <v>0.18490000000000001</v>
      </c>
      <c r="O28" s="6">
        <v>-4.3099999999999999E-2</v>
      </c>
      <c r="P28" s="5">
        <v>0.34020000000000011</v>
      </c>
    </row>
    <row r="29" spans="1:31" x14ac:dyDescent="0.2">
      <c r="A29" s="2">
        <v>45792</v>
      </c>
      <c r="B29" t="s">
        <v>83</v>
      </c>
      <c r="C29" t="s">
        <v>82</v>
      </c>
      <c r="D29" s="4">
        <v>3.5700000000000003E-2</v>
      </c>
      <c r="E29" s="4">
        <v>3.0242444495625471E-2</v>
      </c>
      <c r="F29" s="5">
        <v>0.35010000000000002</v>
      </c>
      <c r="G29" s="5">
        <v>0.22170000000000001</v>
      </c>
      <c r="H29" s="4">
        <v>2.0883706652100799E-2</v>
      </c>
      <c r="I29" s="5">
        <v>4.4800000000000013E-2</v>
      </c>
      <c r="J29" s="5">
        <v>0.1426</v>
      </c>
      <c r="K29" s="4">
        <v>4.3875282273435567E-2</v>
      </c>
      <c r="L29" s="6">
        <v>-2.7300000000000001E-2</v>
      </c>
      <c r="M29" s="5">
        <v>0.18490000000000001</v>
      </c>
      <c r="N29" s="4">
        <v>4.3531750318210702E-2</v>
      </c>
      <c r="O29" s="5">
        <v>0.20200000000000001</v>
      </c>
      <c r="P29" s="5">
        <v>0.34020000000000011</v>
      </c>
    </row>
    <row r="30" spans="1:31" x14ac:dyDescent="0.2">
      <c r="A30" s="2">
        <v>45792</v>
      </c>
      <c r="B30" t="s">
        <v>109</v>
      </c>
      <c r="C30" t="s">
        <v>108</v>
      </c>
      <c r="D30" s="4">
        <v>2.1100000000000001E-2</v>
      </c>
      <c r="E30" s="4">
        <v>6.9937305867351389E-3</v>
      </c>
      <c r="F30" s="5">
        <v>0.51290000000000002</v>
      </c>
      <c r="G30" s="5">
        <v>0.22170000000000001</v>
      </c>
      <c r="H30" s="4">
        <v>1.6765131467316671E-3</v>
      </c>
      <c r="I30" s="6">
        <v>-0.22259999999999999</v>
      </c>
      <c r="J30" s="5">
        <v>0.1426</v>
      </c>
      <c r="K30" s="4">
        <v>5.303753883822101E-3</v>
      </c>
      <c r="L30" s="5">
        <v>0.17630000000000001</v>
      </c>
      <c r="M30" s="5">
        <v>0.18490000000000001</v>
      </c>
      <c r="N30" s="4">
        <v>1.2552910328037769E-2</v>
      </c>
      <c r="O30" s="5">
        <v>0.14030000000000001</v>
      </c>
      <c r="P30" s="5">
        <v>0.34020000000000011</v>
      </c>
    </row>
    <row r="31" spans="1:31" x14ac:dyDescent="0.2">
      <c r="A31" s="2">
        <v>45883</v>
      </c>
      <c r="B31" t="s">
        <v>95</v>
      </c>
      <c r="C31" t="s">
        <v>94</v>
      </c>
      <c r="D31" s="4">
        <v>5.6800000000000003E-2</v>
      </c>
      <c r="E31" s="4">
        <v>6.6894676836821945E-2</v>
      </c>
      <c r="F31" s="5">
        <v>0.4622</v>
      </c>
      <c r="G31" s="5">
        <v>0.1426</v>
      </c>
      <c r="H31" s="4">
        <v>3.4208380191871682E-2</v>
      </c>
      <c r="I31" s="6">
        <v>-0.14069999999999999</v>
      </c>
      <c r="J31" s="5">
        <v>0.18490000000000001</v>
      </c>
      <c r="L31" s="5">
        <v>6.0299999999999999E-2</v>
      </c>
      <c r="M31" s="5">
        <v>0.34020000000000011</v>
      </c>
    </row>
    <row r="32" spans="1:31" x14ac:dyDescent="0.2">
      <c r="A32" s="2">
        <v>45883</v>
      </c>
      <c r="B32" t="s">
        <v>145</v>
      </c>
      <c r="C32" t="s">
        <v>98</v>
      </c>
      <c r="D32" s="4">
        <v>2.8500000000000001E-2</v>
      </c>
      <c r="E32" s="4">
        <v>3.9739190064240523E-2</v>
      </c>
      <c r="F32" s="5">
        <v>1.097</v>
      </c>
      <c r="G32" s="5">
        <v>0.1426</v>
      </c>
      <c r="H32" s="4">
        <v>4.0816043813142251E-2</v>
      </c>
      <c r="I32" s="5">
        <v>0.57700000000000007</v>
      </c>
      <c r="J32" s="5">
        <v>0.18490000000000001</v>
      </c>
      <c r="K32" s="4">
        <v>5.2528262412464277E-2</v>
      </c>
      <c r="L32" s="5">
        <v>0.73499999999999999</v>
      </c>
      <c r="M32" s="5">
        <v>0.34020000000000011</v>
      </c>
    </row>
    <row r="34" spans="6:22" x14ac:dyDescent="0.2">
      <c r="F34" s="3">
        <f>AVERAGE(F2:F32)</f>
        <v>0.11699032258064518</v>
      </c>
      <c r="G34" s="3">
        <f>AVERAGE(G2:G32)</f>
        <v>0.10345483870967749</v>
      </c>
      <c r="I34" s="3">
        <f>AVERAGE(I2:I32)</f>
        <v>0.14104193548387098</v>
      </c>
      <c r="J34" s="3">
        <f>AVERAGE(J2:J32)</f>
        <v>0.12066451612903227</v>
      </c>
      <c r="L34" s="3">
        <f>AVERAGE(L2:L32)</f>
        <v>8.2119354838709677E-2</v>
      </c>
      <c r="M34" s="3">
        <f>AVERAGE(M2:M32)</f>
        <v>7.1096774193548401E-2</v>
      </c>
      <c r="O34" s="3">
        <f>AVERAGE(O2:O32)</f>
        <v>3.2337931034482764E-2</v>
      </c>
      <c r="P34" s="3">
        <f>AVERAGE(P2:P32)</f>
        <v>0.10044137931034486</v>
      </c>
      <c r="R34" s="3">
        <f>AVERAGE(R2:R32)</f>
        <v>0.1512423076923077</v>
      </c>
      <c r="S34" s="3">
        <f>AVERAGE(S2:S32)</f>
        <v>0.13307307692307696</v>
      </c>
      <c r="U34" s="3">
        <f>AVERAGE(U2:U32)</f>
        <v>0.13591739130434782</v>
      </c>
      <c r="V34" s="3">
        <f>AVERAGE(V2:V32)</f>
        <v>9.9160869565217385E-2</v>
      </c>
    </row>
    <row r="35" spans="6:22" x14ac:dyDescent="0.2">
      <c r="F35" s="3">
        <f>AVERAGE(F12:F32)</f>
        <v>0.14261428571428572</v>
      </c>
      <c r="G35" s="3">
        <f>AVERAGE(G12:G32)</f>
        <v>0.1126095238095238</v>
      </c>
      <c r="I35" s="3">
        <f>AVERAGE(I12:I32)</f>
        <v>0.15444761904761903</v>
      </c>
      <c r="J35" s="3">
        <f>AVERAGE(J12:J32)</f>
        <v>0.12153333333333331</v>
      </c>
      <c r="L35" s="3">
        <f>AVERAGE(L12:L32)</f>
        <v>0.1056857142857143</v>
      </c>
      <c r="M35" s="3">
        <f>AVERAGE(M12:M32)</f>
        <v>9.350952380952382E-2</v>
      </c>
      <c r="O35" s="3">
        <f>AVERAGE(O12:O32)</f>
        <v>1.2742105263157897E-2</v>
      </c>
      <c r="P35" s="3">
        <f>AVERAGE(P12:P32)</f>
        <v>0.1159263157894737</v>
      </c>
      <c r="R35" s="3">
        <f>AVERAGE(R12:R32)</f>
        <v>0.18281874999999997</v>
      </c>
      <c r="S35" s="3">
        <f>AVERAGE(S12:S32)</f>
        <v>0.15423750000000003</v>
      </c>
      <c r="U35" s="3">
        <f>AVERAGE(U12:U32)</f>
        <v>0.19664615384615389</v>
      </c>
      <c r="V35" s="3">
        <f>AVERAGE(V12:V32)</f>
        <v>9.7346153846153874E-2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O25"/>
  <sheetViews>
    <sheetView workbookViewId="0">
      <pane xSplit="6" ySplit="1" topLeftCell="AD2" activePane="bottomRight" state="frozen"/>
      <selection pane="topRight"/>
      <selection pane="bottomLeft"/>
      <selection pane="bottomRight" activeCell="AK9" sqref="AK9:AK14"/>
    </sheetView>
  </sheetViews>
  <sheetFormatPr baseColWidth="10" defaultColWidth="8.83203125" defaultRowHeight="15" x14ac:dyDescent="0.2"/>
  <cols>
    <col min="1" max="1" width="12" customWidth="1"/>
    <col min="2" max="2" width="26" customWidth="1"/>
    <col min="3" max="4" width="20" customWidth="1"/>
    <col min="5" max="5" width="28" customWidth="1"/>
    <col min="6" max="6" width="34" customWidth="1"/>
    <col min="7" max="86" width="10" customWidth="1"/>
    <col min="104" max="119" width="0" hidden="1" customWidth="1"/>
  </cols>
  <sheetData>
    <row r="1" spans="1:119" x14ac:dyDescent="0.2">
      <c r="A1" s="1" t="s">
        <v>0</v>
      </c>
      <c r="B1" s="1" t="s">
        <v>15</v>
      </c>
      <c r="C1" s="1" t="s">
        <v>149</v>
      </c>
      <c r="D1" s="1" t="s">
        <v>150</v>
      </c>
      <c r="E1" s="1" t="s">
        <v>151</v>
      </c>
      <c r="F1" s="1" t="s">
        <v>152</v>
      </c>
      <c r="G1" s="1" t="s">
        <v>153</v>
      </c>
      <c r="H1" s="1" t="s">
        <v>3</v>
      </c>
      <c r="I1" s="1" t="s">
        <v>154</v>
      </c>
      <c r="J1" s="1" t="s">
        <v>4</v>
      </c>
      <c r="K1" s="1" t="s">
        <v>155</v>
      </c>
      <c r="L1" s="1" t="s">
        <v>5</v>
      </c>
      <c r="M1" s="1" t="s">
        <v>156</v>
      </c>
      <c r="N1" s="1" t="s">
        <v>6</v>
      </c>
      <c r="O1" s="1" t="s">
        <v>18</v>
      </c>
      <c r="P1" s="1" t="s">
        <v>19</v>
      </c>
      <c r="Q1" s="1" t="s">
        <v>7</v>
      </c>
      <c r="R1" s="1" t="s">
        <v>20</v>
      </c>
      <c r="S1" s="1" t="s">
        <v>21</v>
      </c>
      <c r="T1" s="1" t="s">
        <v>8</v>
      </c>
      <c r="U1" s="1" t="s">
        <v>22</v>
      </c>
      <c r="V1" s="1" t="s">
        <v>23</v>
      </c>
      <c r="W1" s="1" t="s">
        <v>9</v>
      </c>
      <c r="X1" s="1" t="s">
        <v>24</v>
      </c>
      <c r="Y1" s="1" t="s">
        <v>25</v>
      </c>
      <c r="Z1" s="1" t="s">
        <v>10</v>
      </c>
      <c r="AA1" s="1" t="s">
        <v>26</v>
      </c>
      <c r="AB1" s="1" t="s">
        <v>27</v>
      </c>
      <c r="AC1" s="1" t="s">
        <v>11</v>
      </c>
      <c r="AD1" s="1" t="s">
        <v>28</v>
      </c>
      <c r="AE1" s="1" t="s">
        <v>29</v>
      </c>
      <c r="AF1" s="1" t="s">
        <v>12</v>
      </c>
      <c r="AG1" s="1" t="s">
        <v>30</v>
      </c>
      <c r="AH1" s="1" t="s">
        <v>31</v>
      </c>
      <c r="AI1" s="1" t="s">
        <v>13</v>
      </c>
      <c r="AJ1" s="1" t="s">
        <v>32</v>
      </c>
      <c r="AK1" s="1" t="s">
        <v>33</v>
      </c>
      <c r="AL1" s="1" t="s">
        <v>14</v>
      </c>
      <c r="AM1" s="1" t="s">
        <v>34</v>
      </c>
      <c r="AN1" s="1" t="s">
        <v>35</v>
      </c>
      <c r="AO1" s="1" t="s">
        <v>36</v>
      </c>
      <c r="AP1" s="1" t="s">
        <v>37</v>
      </c>
      <c r="AQ1" s="1" t="s">
        <v>38</v>
      </c>
      <c r="AR1" s="1" t="s">
        <v>39</v>
      </c>
      <c r="AS1" s="1" t="s">
        <v>40</v>
      </c>
      <c r="AT1" s="1" t="s">
        <v>41</v>
      </c>
      <c r="AU1" s="1" t="s">
        <v>42</v>
      </c>
      <c r="AV1" s="1" t="s">
        <v>43</v>
      </c>
      <c r="AW1" s="1" t="s">
        <v>44</v>
      </c>
      <c r="AX1" s="1" t="s">
        <v>45</v>
      </c>
      <c r="AY1" s="1" t="s">
        <v>46</v>
      </c>
      <c r="AZ1" s="1" t="s">
        <v>47</v>
      </c>
      <c r="BA1" s="1" t="s">
        <v>48</v>
      </c>
      <c r="BB1" s="1" t="s">
        <v>49</v>
      </c>
      <c r="BC1" s="1" t="s">
        <v>50</v>
      </c>
      <c r="BD1" s="1" t="s">
        <v>51</v>
      </c>
      <c r="BE1" s="1" t="s">
        <v>52</v>
      </c>
      <c r="BF1" s="1" t="s">
        <v>53</v>
      </c>
      <c r="BG1" s="1" t="s">
        <v>54</v>
      </c>
      <c r="BH1" s="1" t="s">
        <v>55</v>
      </c>
      <c r="BI1" s="1" t="s">
        <v>56</v>
      </c>
      <c r="BJ1" s="1" t="s">
        <v>57</v>
      </c>
      <c r="BK1" s="1" t="s">
        <v>58</v>
      </c>
      <c r="BL1" s="1" t="s">
        <v>59</v>
      </c>
      <c r="BM1" s="1" t="s">
        <v>60</v>
      </c>
      <c r="BN1" s="1" t="s">
        <v>61</v>
      </c>
      <c r="BO1" s="1" t="s">
        <v>62</v>
      </c>
      <c r="BP1" s="1" t="s">
        <v>63</v>
      </c>
      <c r="BQ1" s="1" t="s">
        <v>64</v>
      </c>
      <c r="BR1" s="1" t="s">
        <v>65</v>
      </c>
      <c r="BS1" s="1" t="s">
        <v>66</v>
      </c>
      <c r="BT1" s="1" t="s">
        <v>67</v>
      </c>
      <c r="BU1" s="1" t="s">
        <v>68</v>
      </c>
      <c r="BV1" s="1" t="s">
        <v>69</v>
      </c>
      <c r="BW1" s="1" t="s">
        <v>70</v>
      </c>
      <c r="BX1" s="1" t="s">
        <v>71</v>
      </c>
      <c r="BY1" s="1" t="s">
        <v>72</v>
      </c>
      <c r="BZ1" s="1" t="s">
        <v>73</v>
      </c>
      <c r="CA1" s="1" t="s">
        <v>74</v>
      </c>
      <c r="CB1" s="1" t="s">
        <v>75</v>
      </c>
      <c r="CC1" s="1" t="s">
        <v>76</v>
      </c>
      <c r="CD1" s="1" t="s">
        <v>77</v>
      </c>
      <c r="CE1" s="1" t="s">
        <v>78</v>
      </c>
      <c r="CF1" s="1" t="s">
        <v>79</v>
      </c>
      <c r="CG1" s="1" t="s">
        <v>80</v>
      </c>
      <c r="CH1" s="1" t="s">
        <v>81</v>
      </c>
      <c r="CJ1" s="8" t="s">
        <v>262</v>
      </c>
      <c r="CK1" s="9"/>
      <c r="CL1" s="9"/>
      <c r="CM1" s="9"/>
      <c r="CN1" s="9" t="s">
        <v>274</v>
      </c>
      <c r="CO1" s="9"/>
      <c r="CP1" s="9"/>
      <c r="CQ1" s="9"/>
      <c r="CR1" s="9" t="s">
        <v>264</v>
      </c>
      <c r="CS1" s="9"/>
      <c r="CT1" s="9"/>
      <c r="CU1" s="9"/>
      <c r="CV1" s="9" t="s">
        <v>275</v>
      </c>
      <c r="CW1" s="9"/>
      <c r="CX1" s="9"/>
      <c r="CZ1" t="s">
        <v>266</v>
      </c>
      <c r="DA1" t="s">
        <v>267</v>
      </c>
      <c r="DB1" t="s">
        <v>268</v>
      </c>
      <c r="DC1" t="s">
        <v>269</v>
      </c>
      <c r="DD1" t="s">
        <v>270</v>
      </c>
      <c r="DE1" t="s">
        <v>271</v>
      </c>
      <c r="DF1" t="s">
        <v>272</v>
      </c>
      <c r="DG1" t="s">
        <v>273</v>
      </c>
      <c r="DH1" t="s">
        <v>253</v>
      </c>
      <c r="DI1" t="s">
        <v>254</v>
      </c>
      <c r="DJ1" t="s">
        <v>255</v>
      </c>
      <c r="DK1" t="s">
        <v>256</v>
      </c>
      <c r="DL1" t="s">
        <v>257</v>
      </c>
      <c r="DM1" t="s">
        <v>258</v>
      </c>
      <c r="DN1" t="s">
        <v>259</v>
      </c>
      <c r="DO1" t="s">
        <v>260</v>
      </c>
    </row>
    <row r="2" spans="1:119" x14ac:dyDescent="0.2">
      <c r="A2" s="2">
        <v>43966</v>
      </c>
      <c r="B2" t="s">
        <v>84</v>
      </c>
      <c r="C2" s="4">
        <v>0</v>
      </c>
      <c r="D2" s="4">
        <v>0.11650000000000001</v>
      </c>
      <c r="E2" t="s">
        <v>157</v>
      </c>
      <c r="F2" t="s">
        <v>157</v>
      </c>
      <c r="O2" s="4">
        <v>0.1071641377985999</v>
      </c>
      <c r="P2" s="5">
        <v>0.2011</v>
      </c>
      <c r="Q2" s="5">
        <v>0.3009</v>
      </c>
      <c r="S2" s="5">
        <v>8.6800000000000002E-2</v>
      </c>
      <c r="T2" s="5">
        <v>0.18190000000000001</v>
      </c>
      <c r="V2" s="5">
        <v>0.1169</v>
      </c>
      <c r="W2" s="5">
        <v>0.27850000000000003</v>
      </c>
      <c r="Y2" s="5">
        <v>5.6349999999999997E-2</v>
      </c>
      <c r="Z2" s="6">
        <v>-2.8500000000000001E-2</v>
      </c>
      <c r="AA2" s="4">
        <v>4.2641327233549318E-2</v>
      </c>
      <c r="AB2" s="5">
        <v>9.3350000000000002E-2</v>
      </c>
      <c r="AC2" s="5">
        <v>5.0199999999999988E-2</v>
      </c>
      <c r="AD2" s="4">
        <v>4.5099737146670552E-2</v>
      </c>
      <c r="AE2" s="5">
        <v>7.4050000000000005E-2</v>
      </c>
      <c r="AF2" s="5">
        <v>0.1507</v>
      </c>
      <c r="AG2" s="4">
        <v>0.14417818385208839</v>
      </c>
      <c r="AH2" s="6">
        <v>-0.10595</v>
      </c>
      <c r="AI2" s="6">
        <v>-0.1138</v>
      </c>
      <c r="AJ2" s="4">
        <v>0.1726323390956726</v>
      </c>
      <c r="AK2" s="6">
        <v>-0.22070000000000001</v>
      </c>
      <c r="AL2" s="6">
        <v>-0.13789999999999999</v>
      </c>
      <c r="AM2" s="4">
        <v>0.25025149045488282</v>
      </c>
      <c r="AN2" s="5">
        <v>0.1794</v>
      </c>
      <c r="AO2" s="5">
        <v>7.8600000000000003E-2</v>
      </c>
      <c r="AP2" s="4">
        <v>0.1163526824991888</v>
      </c>
      <c r="AQ2" s="6">
        <v>-0.2641</v>
      </c>
      <c r="AR2" s="6">
        <v>-0.11269999999999999</v>
      </c>
      <c r="AS2" s="4">
        <v>7.8572175764065569E-2</v>
      </c>
      <c r="AT2" s="5">
        <v>7.999999999999996E-4</v>
      </c>
      <c r="AU2" s="5">
        <v>0.17</v>
      </c>
      <c r="AV2" s="4">
        <v>6.4960070684596777E-2</v>
      </c>
      <c r="AW2" s="5">
        <v>0.17294999999999999</v>
      </c>
      <c r="AX2" s="6">
        <v>-3.0000000000000001E-3</v>
      </c>
      <c r="AY2" s="4">
        <v>3.494660146981024E-2</v>
      </c>
      <c r="AZ2" s="5">
        <v>0.19564999999999999</v>
      </c>
      <c r="BA2" s="5">
        <v>0.1946</v>
      </c>
      <c r="BB2" s="4">
        <v>0.15710922665643731</v>
      </c>
      <c r="BC2" s="5">
        <v>2.7300000000000001E-2</v>
      </c>
      <c r="BD2" s="5">
        <v>6.9199999999999998E-2</v>
      </c>
      <c r="BE2" s="4">
        <v>6.9290723624698111E-2</v>
      </c>
      <c r="BF2" s="5">
        <v>0.13245000000000001</v>
      </c>
      <c r="BG2" s="5">
        <v>0.26960000000000001</v>
      </c>
      <c r="BH2" s="4">
        <v>8.1587157426920229E-2</v>
      </c>
      <c r="BI2" s="5">
        <v>0.13494999999999999</v>
      </c>
      <c r="BJ2" s="5">
        <v>0.15049999999999999</v>
      </c>
      <c r="BK2" s="4">
        <v>9.5188409096776325E-2</v>
      </c>
      <c r="BL2" s="6">
        <v>-7.7349999999999988E-2</v>
      </c>
      <c r="BM2" s="5">
        <v>1.06E-2</v>
      </c>
      <c r="BN2" s="4">
        <v>5.3441323192805062E-2</v>
      </c>
      <c r="BO2" s="5">
        <v>0.16980000000000001</v>
      </c>
      <c r="BP2" s="5">
        <v>4.99E-2</v>
      </c>
      <c r="BQ2" s="4">
        <v>8.0565263896286196E-2</v>
      </c>
      <c r="BR2" s="5">
        <v>6.8750000000000006E-2</v>
      </c>
      <c r="BS2" s="5">
        <v>2.2200000000000001E-2</v>
      </c>
      <c r="BT2" s="4">
        <v>0.13851882434874491</v>
      </c>
      <c r="BU2" s="6">
        <v>-0.10829999999999999</v>
      </c>
      <c r="BV2" s="6">
        <v>-2.1600000000000001E-2</v>
      </c>
      <c r="BW2" s="4">
        <v>0.119801643542698</v>
      </c>
      <c r="BX2" s="5">
        <v>0.1825</v>
      </c>
      <c r="BY2" s="5">
        <v>0.22170000000000001</v>
      </c>
      <c r="BZ2" s="4">
        <v>6.3679752352033478E-2</v>
      </c>
      <c r="CA2" s="5">
        <v>0.18965000000000001</v>
      </c>
      <c r="CB2" s="5">
        <v>0.1426</v>
      </c>
      <c r="CC2" s="4">
        <v>4.9795920856262187E-2</v>
      </c>
      <c r="CD2" s="6">
        <v>-2.4750000000000001E-2</v>
      </c>
      <c r="CE2" s="5">
        <v>0.18490000000000001</v>
      </c>
      <c r="CF2" s="4">
        <v>7.1608588370053405E-2</v>
      </c>
      <c r="CG2" s="5">
        <v>0.31595000000000001</v>
      </c>
      <c r="CH2" s="5">
        <v>0.34020000000000011</v>
      </c>
      <c r="CJ2" s="9" t="s">
        <v>230</v>
      </c>
      <c r="CK2" s="9" t="s">
        <v>263</v>
      </c>
      <c r="CL2" s="9" t="s">
        <v>232</v>
      </c>
      <c r="CM2" s="9"/>
      <c r="CN2" s="9" t="s">
        <v>230</v>
      </c>
      <c r="CO2" s="9" t="s">
        <v>263</v>
      </c>
      <c r="CP2" s="9" t="s">
        <v>232</v>
      </c>
      <c r="CQ2" s="9"/>
      <c r="CR2" s="9" t="s">
        <v>230</v>
      </c>
      <c r="CS2" s="9" t="s">
        <v>263</v>
      </c>
      <c r="CT2" s="9" t="s">
        <v>232</v>
      </c>
      <c r="CU2" s="9"/>
      <c r="CV2" s="9" t="s">
        <v>230</v>
      </c>
      <c r="CW2" s="9" t="s">
        <v>263</v>
      </c>
      <c r="CX2" s="9" t="s">
        <v>232</v>
      </c>
      <c r="CZ2">
        <f>IF(P2="","",P2)</f>
        <v>0.2011</v>
      </c>
      <c r="DA2">
        <f>IF(S2="","",(1+CZ2)*(1+S2)-1)</f>
        <v>0.30535548000000001</v>
      </c>
      <c r="DB2">
        <f>IF(V2="","",(1+DA2)*(1+V2)-1)</f>
        <v>0.45795153561200008</v>
      </c>
      <c r="DC2">
        <f>IF(Y2="","",(1+DB2)*(1+Y2)-1)</f>
        <v>0.54010710464373624</v>
      </c>
      <c r="DD2">
        <f>IF(AB2="","",(1+DC2)*(1+AB2)-1)</f>
        <v>0.68387610286222911</v>
      </c>
      <c r="DE2">
        <f>IF(AE2="","",(1+DD2)*(1+AE2)-1)</f>
        <v>0.80856712827917709</v>
      </c>
      <c r="DF2">
        <f>IF(AH2="","",(1+DE2)*(1+AH2)-1)</f>
        <v>0.61694944103799831</v>
      </c>
      <c r="DG2">
        <f>IF(AK2="","",(1+DF2)*(1+AK2)-1)</f>
        <v>0.26008869940091217</v>
      </c>
      <c r="DH2">
        <f>IF(Q2="","",Q2)</f>
        <v>0.3009</v>
      </c>
      <c r="DI2">
        <f>IF(T2="","",(1+DH2)*(1+T2)-1)</f>
        <v>0.53753370999999994</v>
      </c>
      <c r="DJ2">
        <f>IF(W2="","",(1+DI2)*(1+W2)-1)</f>
        <v>0.96573684823499995</v>
      </c>
      <c r="DK2">
        <f>IF(Z2="","",(1+DJ2)*(1+Z2)-1)</f>
        <v>0.90971334806030257</v>
      </c>
      <c r="DL2">
        <f>IF(AC2="","",(1+DK2)*(1+AC2)-1)</f>
        <v>1.00558095813293</v>
      </c>
      <c r="DM2">
        <f>IF(AF2="","",(1+DL2)*(1+AF2)-1)</f>
        <v>1.3078220085235626</v>
      </c>
      <c r="DN2">
        <f>IF(AI2="","",(1+DM2)*(1+AI2)-1)</f>
        <v>1.0451918639535811</v>
      </c>
      <c r="DO2">
        <f>IF(AL2="","",(1+DN2)*(1+AL2)-1)</f>
        <v>0.76315990591438232</v>
      </c>
    </row>
    <row r="3" spans="1:119" x14ac:dyDescent="0.2">
      <c r="A3" s="2">
        <v>44057</v>
      </c>
      <c r="B3" t="s">
        <v>86</v>
      </c>
      <c r="C3" s="4">
        <v>3.9100000000000003E-2</v>
      </c>
      <c r="D3" s="4">
        <v>6.0100000000000001E-2</v>
      </c>
      <c r="E3" t="s">
        <v>87</v>
      </c>
      <c r="F3" t="s">
        <v>87</v>
      </c>
      <c r="M3" s="5">
        <v>2.6800000000000001E-2</v>
      </c>
      <c r="N3" s="5">
        <v>0.3009</v>
      </c>
      <c r="O3" s="4">
        <v>4.2238126170694203E-2</v>
      </c>
      <c r="P3" s="5">
        <v>0.35659999999999997</v>
      </c>
      <c r="Q3" s="5">
        <v>0.18190000000000001</v>
      </c>
      <c r="R3" s="4">
        <v>1.7486235248291911E-2</v>
      </c>
      <c r="S3" s="5">
        <v>0.41839999999999999</v>
      </c>
      <c r="T3" s="5">
        <v>0.27850000000000003</v>
      </c>
      <c r="U3" s="4">
        <v>1.6832103283159081E-2</v>
      </c>
      <c r="V3" s="6">
        <v>-4.0899999999999999E-2</v>
      </c>
      <c r="W3" s="6">
        <v>-2.8500000000000001E-2</v>
      </c>
      <c r="X3" s="4">
        <v>1.4969728830410889E-2</v>
      </c>
      <c r="Y3" s="6">
        <v>-0.15709999999999999</v>
      </c>
      <c r="Z3" s="5">
        <v>5.0199999999999988E-2</v>
      </c>
      <c r="AA3" s="4">
        <v>1.193100495645363E-2</v>
      </c>
      <c r="AB3" s="5">
        <v>8.4000000000000005E-2</v>
      </c>
      <c r="AC3" s="5">
        <v>0.1507</v>
      </c>
      <c r="AD3" s="4">
        <v>4.2777373300544638E-2</v>
      </c>
      <c r="AE3" s="5">
        <v>0.1716</v>
      </c>
      <c r="AF3" s="6">
        <v>-0.1138</v>
      </c>
      <c r="AG3" s="4">
        <v>1.2185511339830139E-2</v>
      </c>
      <c r="AH3" s="6">
        <v>-0.2147</v>
      </c>
      <c r="AI3" s="6">
        <v>-0.13789999999999999</v>
      </c>
      <c r="AK3" s="6">
        <v>-8.0100000000000005E-2</v>
      </c>
      <c r="AL3" s="5">
        <v>7.8600000000000003E-2</v>
      </c>
      <c r="AN3" s="6">
        <v>-4.3099999999999999E-2</v>
      </c>
      <c r="AO3" s="6">
        <v>-0.11269999999999999</v>
      </c>
      <c r="AQ3" s="5">
        <v>6.9999999999999993E-3</v>
      </c>
      <c r="AR3" s="5">
        <v>0.17</v>
      </c>
      <c r="AS3" s="4">
        <v>1.7018554613246389E-2</v>
      </c>
      <c r="AT3" s="5">
        <v>4.3499999999999997E-2</v>
      </c>
      <c r="AU3" s="6">
        <v>-3.0000000000000001E-3</v>
      </c>
      <c r="AV3" s="4">
        <v>1.9830561513299611E-2</v>
      </c>
      <c r="AW3" s="5">
        <v>5.8299999999999998E-2</v>
      </c>
      <c r="AX3" s="5">
        <v>0.1946</v>
      </c>
      <c r="AY3" s="4">
        <v>1.5687019013901161E-2</v>
      </c>
      <c r="AZ3" s="5">
        <v>0.1321</v>
      </c>
      <c r="BA3" s="5">
        <v>6.9199999999999998E-2</v>
      </c>
      <c r="BC3" s="5">
        <v>6.1799999999999987E-2</v>
      </c>
      <c r="BD3" s="5">
        <v>0.26960000000000001</v>
      </c>
      <c r="BE3" s="4">
        <v>4.1179589733099729E-2</v>
      </c>
      <c r="BF3" s="5">
        <v>0.56340000000000001</v>
      </c>
      <c r="BG3" s="5">
        <v>0.15049999999999999</v>
      </c>
      <c r="BH3" s="4">
        <v>3.1222833796893359E-2</v>
      </c>
      <c r="BI3" s="6">
        <v>-0.2137</v>
      </c>
      <c r="BJ3" s="5">
        <v>1.06E-2</v>
      </c>
      <c r="BK3" s="4">
        <v>1.020683173145912E-2</v>
      </c>
      <c r="BL3" s="6">
        <v>-1.11E-2</v>
      </c>
      <c r="BM3" s="5">
        <v>4.99E-2</v>
      </c>
      <c r="BN3" s="4">
        <v>4.4336326359926126E-3</v>
      </c>
      <c r="BO3" s="5">
        <v>4.6999999999999993E-3</v>
      </c>
      <c r="BP3" s="5">
        <v>2.2200000000000001E-2</v>
      </c>
      <c r="BQ3" s="4">
        <v>2.3471941842505919E-2</v>
      </c>
      <c r="BR3" s="6">
        <v>-3.9600000000000003E-2</v>
      </c>
      <c r="BS3" s="6">
        <v>-2.1600000000000001E-2</v>
      </c>
      <c r="BT3" s="4">
        <v>2.4104406472204298E-3</v>
      </c>
      <c r="BU3" s="5">
        <v>0.31390000000000001</v>
      </c>
      <c r="BV3" s="5">
        <v>0.22170000000000001</v>
      </c>
      <c r="BW3" s="4">
        <v>2.3623488022934729E-2</v>
      </c>
      <c r="BX3" s="5">
        <v>0.97129999999999994</v>
      </c>
      <c r="BY3" s="5">
        <v>0.1426</v>
      </c>
      <c r="BZ3" s="4">
        <v>2.5770479406663108E-2</v>
      </c>
      <c r="CA3" s="5">
        <v>0.62029999999999996</v>
      </c>
      <c r="CB3" s="5">
        <v>0.18490000000000001</v>
      </c>
      <c r="CC3" s="4">
        <v>5.1357884567679292E-2</v>
      </c>
      <c r="CD3" s="5">
        <v>0.70550000000000002</v>
      </c>
      <c r="CE3" s="5">
        <v>0.34020000000000011</v>
      </c>
      <c r="CJ3" s="13" t="s">
        <v>233</v>
      </c>
      <c r="CK3" s="12">
        <f>IFERROR(AVERAGE(G$2:G$23),NA())</f>
        <v>0.10641315789473685</v>
      </c>
      <c r="CL3" s="12">
        <f>IFERROR(AVERAGE(H$2:H$23),NA())</f>
        <v>8.824499999999999E-2</v>
      </c>
      <c r="CM3" s="13"/>
      <c r="CN3" s="13" t="s">
        <v>237</v>
      </c>
      <c r="CO3" s="12">
        <f>IFERROR(AVERAGE(CZ$2:CZ$23),NA())</f>
        <v>0.18765166666666666</v>
      </c>
      <c r="CP3" s="12">
        <f>IFERROR(AVERAGE(DH$2:DH$23),NA())</f>
        <v>0.11448000000000003</v>
      </c>
      <c r="CQ3" s="13"/>
      <c r="CR3" s="13" t="s">
        <v>233</v>
      </c>
      <c r="CS3" s="12">
        <f>IFERROR(AVERAGEIFS(G$2:G$23,$A$2:$A$23,"&gt;"&amp;$CS$16),NA())</f>
        <v>0.12176428571428573</v>
      </c>
      <c r="CT3" s="12">
        <f>IFERROR(AVERAGEIFS(H$2:H$23,$A$2:$A$23,"&gt;"&amp;$CS$16),NA())</f>
        <v>9.6860000000000002E-2</v>
      </c>
      <c r="CU3" s="13"/>
      <c r="CV3" s="13" t="s">
        <v>237</v>
      </c>
      <c r="CW3" s="12">
        <f>IFERROR(AVERAGEIFS(CZ$2:CZ$23,$A$2:$A$23,"&gt;"&amp;$CS$16),NA())</f>
        <v>0.22777948717948721</v>
      </c>
      <c r="CX3" s="12">
        <f>IFERROR(AVERAGEIFS(DH$2:DH$23,$A$2:$A$23,"&gt;"&amp;$CS$16),NA())</f>
        <v>0.13166923076923079</v>
      </c>
      <c r="CZ3">
        <f>IF(P3="","",P3)</f>
        <v>0.35659999999999997</v>
      </c>
      <c r="DA3">
        <f>IF(S3="","",(1+CZ3)*(1+S3)-1)</f>
        <v>0.92420144000000026</v>
      </c>
      <c r="DB3">
        <f>IF(V3="","",(1+DA3)*(1+V3)-1)</f>
        <v>0.84550160110400019</v>
      </c>
      <c r="DC3">
        <f>IF(Y3="","",(1+DB3)*(1+Y3)-1)</f>
        <v>0.55557329957056178</v>
      </c>
      <c r="DD3">
        <f>IF(AB3="","",(1+DC3)*(1+AB3)-1)</f>
        <v>0.686241456734489</v>
      </c>
      <c r="DE3">
        <f>IF(AE3="","",(1+DD3)*(1+AE3)-1)</f>
        <v>0.97560049071012722</v>
      </c>
      <c r="DF3">
        <f>IF(AH3="","",(1+DE3)*(1+AH3)-1)</f>
        <v>0.55143906535466281</v>
      </c>
      <c r="DG3">
        <f>IF(AK3="","",(1+DF3)*(1+AK3)-1)</f>
        <v>0.42716879621975412</v>
      </c>
      <c r="DH3">
        <f>IF(Q3="","",Q3)</f>
        <v>0.18190000000000001</v>
      </c>
      <c r="DI3">
        <f>IF(T3="","",(1+DH3)*(1+T3)-1)</f>
        <v>0.51105914999999991</v>
      </c>
      <c r="DJ3">
        <f>IF(W3="","",(1+DI3)*(1+W3)-1)</f>
        <v>0.46799396422499995</v>
      </c>
      <c r="DK3">
        <f>IF(Z3="","",(1+DJ3)*(1+Z3)-1)</f>
        <v>0.54168726122909505</v>
      </c>
      <c r="DL3">
        <f>IF(AC3="","",(1+DK3)*(1+AC3)-1)</f>
        <v>0.77401953149631986</v>
      </c>
      <c r="DM3">
        <f>IF(AF3="","",(1+DL3)*(1+AF3)-1)</f>
        <v>0.57213610881203869</v>
      </c>
      <c r="DN3">
        <f>IF(AI3="","",(1+DM3)*(1+AI3)-1)</f>
        <v>0.35533853940685844</v>
      </c>
      <c r="DO3">
        <f>IF(AL3="","",(1+DN3)*(1+AL3)-1)</f>
        <v>0.46186814860423753</v>
      </c>
    </row>
    <row r="4" spans="1:119" x14ac:dyDescent="0.2">
      <c r="A4" s="2">
        <v>44348</v>
      </c>
      <c r="B4" t="s">
        <v>82</v>
      </c>
      <c r="C4" s="4">
        <v>0</v>
      </c>
      <c r="D4" s="4">
        <v>5.3600000000000002E-2</v>
      </c>
      <c r="E4" t="s">
        <v>140</v>
      </c>
      <c r="F4" t="s">
        <v>140</v>
      </c>
      <c r="G4" s="5">
        <v>0.5</v>
      </c>
      <c r="H4" s="5">
        <v>0.3009</v>
      </c>
      <c r="I4" s="5">
        <v>2.9899999999999999E-2</v>
      </c>
      <c r="J4" s="5">
        <v>0.18190000000000001</v>
      </c>
      <c r="K4" s="5">
        <v>9.2300000000000007E-2</v>
      </c>
      <c r="L4" s="5">
        <v>0.27850000000000003</v>
      </c>
      <c r="M4" s="6">
        <v>-0.1164</v>
      </c>
      <c r="N4" s="6">
        <v>-2.8500000000000001E-2</v>
      </c>
      <c r="O4" s="4">
        <v>3.3591504173371908E-2</v>
      </c>
      <c r="P4" s="5">
        <v>0.33</v>
      </c>
      <c r="Q4" s="5">
        <v>5.0199999999999988E-2</v>
      </c>
      <c r="R4" s="4">
        <v>7.2732751298149728E-4</v>
      </c>
      <c r="S4" s="5">
        <v>0.36299999999999999</v>
      </c>
      <c r="T4" s="5">
        <v>0.1507</v>
      </c>
      <c r="V4" s="6">
        <v>-0.21990000000000001</v>
      </c>
      <c r="W4" s="6">
        <v>-0.1138</v>
      </c>
      <c r="Y4" s="6">
        <v>-0.17530000000000001</v>
      </c>
      <c r="Z4" s="6">
        <v>-0.13789999999999999</v>
      </c>
      <c r="AB4" s="5">
        <v>7.1800000000000003E-2</v>
      </c>
      <c r="AC4" s="5">
        <v>7.8600000000000003E-2</v>
      </c>
      <c r="AD4" s="4">
        <v>7.2015993445274831E-2</v>
      </c>
      <c r="AE4" s="6">
        <v>-0.27210000000000001</v>
      </c>
      <c r="AF4" s="6">
        <v>-0.11269999999999999</v>
      </c>
      <c r="AG4" s="4">
        <v>0.17611366548133389</v>
      </c>
      <c r="AH4" s="5">
        <v>0.16889999999999999</v>
      </c>
      <c r="AI4" s="5">
        <v>0.17</v>
      </c>
      <c r="AJ4" s="4">
        <v>0.1845353142315527</v>
      </c>
      <c r="AK4" s="5">
        <v>0.13320000000000001</v>
      </c>
      <c r="AL4" s="6">
        <v>-3.0000000000000001E-3</v>
      </c>
      <c r="AM4" s="4">
        <v>5.97387260425499E-2</v>
      </c>
      <c r="AN4" s="5">
        <v>0.1497</v>
      </c>
      <c r="AO4" s="5">
        <v>0.1946</v>
      </c>
      <c r="AP4" s="4">
        <v>0.11503127978022901</v>
      </c>
      <c r="AQ4" s="5">
        <v>7.0499999999999993E-2</v>
      </c>
      <c r="AR4" s="5">
        <v>6.9199999999999998E-2</v>
      </c>
      <c r="AS4" s="4">
        <v>6.844211211829733E-2</v>
      </c>
      <c r="AT4" s="5">
        <v>0.49070000000000003</v>
      </c>
      <c r="AU4" s="5">
        <v>0.26960000000000001</v>
      </c>
      <c r="AV4" s="4">
        <v>0.109337027069424</v>
      </c>
      <c r="AW4" s="6">
        <v>-0.1065</v>
      </c>
      <c r="AX4" s="5">
        <v>0.15049999999999999</v>
      </c>
      <c r="AY4" s="4">
        <v>0.1128971115587665</v>
      </c>
      <c r="AZ4" s="6">
        <v>-0.11849999999999999</v>
      </c>
      <c r="BA4" s="5">
        <v>1.06E-2</v>
      </c>
      <c r="BB4" s="4">
        <v>8.6224359728782257E-2</v>
      </c>
      <c r="BC4" s="6">
        <v>-1.3599999999999999E-2</v>
      </c>
      <c r="BD4" s="5">
        <v>4.99E-2</v>
      </c>
      <c r="BE4" s="4">
        <v>7.381599107760152E-2</v>
      </c>
      <c r="BF4" s="6">
        <v>-0.18540000000000001</v>
      </c>
      <c r="BG4" s="5">
        <v>2.2200000000000001E-2</v>
      </c>
      <c r="BH4" s="4">
        <v>0.1013087542009377</v>
      </c>
      <c r="BI4" s="5">
        <v>1.67E-2</v>
      </c>
      <c r="BJ4" s="6">
        <v>-2.1600000000000001E-2</v>
      </c>
      <c r="BK4" s="4">
        <v>9.8614570946374353E-2</v>
      </c>
      <c r="BL4" s="5">
        <v>0.5736</v>
      </c>
      <c r="BM4" s="5">
        <v>0.22170000000000001</v>
      </c>
      <c r="BN4" s="4">
        <v>3.1576561889427472E-2</v>
      </c>
      <c r="BO4" s="5">
        <v>0.36399999999999999</v>
      </c>
      <c r="BP4" s="5">
        <v>0.1426</v>
      </c>
      <c r="BQ4" s="4">
        <v>4.3875282273435567E-2</v>
      </c>
      <c r="BR4" s="6">
        <v>-0.1772</v>
      </c>
      <c r="BS4" s="5">
        <v>0.18490000000000001</v>
      </c>
      <c r="BT4" s="4">
        <v>4.3531750318210702E-2</v>
      </c>
      <c r="BU4" s="5">
        <v>1.073</v>
      </c>
      <c r="BV4" s="5">
        <v>0.34020000000000011</v>
      </c>
      <c r="CJ4" s="13" t="s">
        <v>234</v>
      </c>
      <c r="CK4" s="12">
        <f>IFERROR(AVERAGE(I$2:I$23),NA())</f>
        <v>5.4982456140350876E-2</v>
      </c>
      <c r="CL4" s="12">
        <f>IFERROR(AVERAGE(J$2:J$23),NA())</f>
        <v>9.9290000000000017E-2</v>
      </c>
      <c r="CM4" s="13"/>
      <c r="CN4" s="13" t="s">
        <v>238</v>
      </c>
      <c r="CO4" s="12">
        <f>IFERROR(AVERAGE(DA$2:DA$23),NA())</f>
        <v>0.40348325884502922</v>
      </c>
      <c r="CP4" s="12">
        <f>IFERROR(AVERAGE(DI$2:DI$23),NA())</f>
        <v>0.20704130526315792</v>
      </c>
      <c r="CQ4" s="13"/>
      <c r="CR4" s="13" t="s">
        <v>234</v>
      </c>
      <c r="CS4" s="12">
        <f>IFERROR(AVERAGEIFS(I$2:I$23,$A$2:$A$23,"&gt;"&amp;$CS$16),NA())</f>
        <v>9.2047619047619059E-2</v>
      </c>
      <c r="CT4" s="12">
        <f>IFERROR(AVERAGEIFS(J$2:J$23,$A$2:$A$23,"&gt;"&amp;$CS$16),NA())</f>
        <v>0.10419333333333335</v>
      </c>
      <c r="CU4" s="13"/>
      <c r="CV4" s="13" t="s">
        <v>238</v>
      </c>
      <c r="CW4" s="12">
        <f>IFERROR(AVERAGEIFS(DA$2:DA$23,$A$2:$A$23,"&gt;"&amp;$CS$16),NA())</f>
        <v>0.50140115546296282</v>
      </c>
      <c r="CX4" s="12">
        <f>IFERROR(AVERAGEIFS(DI$2:DI$23,$A$2:$A$23,"&gt;"&amp;$CS$16),NA())</f>
        <v>0.21923036166666665</v>
      </c>
      <c r="CZ4">
        <f>IF(P4="","",P4)</f>
        <v>0.33</v>
      </c>
      <c r="DA4">
        <f>IF(S4="","",(1+CZ4)*(1+S4)-1)</f>
        <v>0.81279000000000012</v>
      </c>
      <c r="DB4">
        <f>IF(V4="","",(1+DA4)*(1+V4)-1)</f>
        <v>0.41415747900000022</v>
      </c>
      <c r="DC4">
        <f>IF(Y4="","",(1+DB4)*(1+Y4)-1)</f>
        <v>0.16625567293130006</v>
      </c>
      <c r="DD4">
        <f>IF(AB4="","",(1+DC4)*(1+AB4)-1)</f>
        <v>0.24999283024776742</v>
      </c>
      <c r="DE4">
        <f>IF(AE4="","",(1+DD4)*(1+AE4)-1)</f>
        <v>-9.0130218862650158E-2</v>
      </c>
      <c r="DF4">
        <f>IF(AH4="","",(1+DE4)*(1+AH4)-1)</f>
        <v>6.3546787171448349E-2</v>
      </c>
      <c r="DG4">
        <f>IF(AK4="","",(1+DF4)*(1+AK4)-1)</f>
        <v>0.20521121922268515</v>
      </c>
      <c r="DH4">
        <f>IF(Q4="","",Q4)</f>
        <v>5.0199999999999988E-2</v>
      </c>
      <c r="DI4">
        <f>IF(T4="","",(1+DH4)*(1+T4)-1)</f>
        <v>0.20846514000000016</v>
      </c>
      <c r="DJ4">
        <f>IF(W4="","",(1+DI4)*(1+W4)-1)</f>
        <v>7.0941807068000129E-2</v>
      </c>
      <c r="DK4">
        <f>IF(Z4="","",(1+DJ4)*(1+Z4)-1)</f>
        <v>-7.6741068126677137E-2</v>
      </c>
      <c r="DL4">
        <f>IF(AC4="","",(1+DK4)*(1+AC4)-1)</f>
        <v>-4.1729160814339972E-3</v>
      </c>
      <c r="DM4">
        <f>IF(AF4="","",(1+DL4)*(1+AF4)-1)</f>
        <v>-0.11640262843905635</v>
      </c>
      <c r="DN4">
        <f>IF(AI4="","",(1+DM4)*(1+AI4)-1)</f>
        <v>3.3808924726304035E-2</v>
      </c>
      <c r="DO4">
        <f>IF(AL4="","",(1+DN4)*(1+AL4)-1)</f>
        <v>3.0707497952125129E-2</v>
      </c>
    </row>
    <row r="5" spans="1:119" x14ac:dyDescent="0.2">
      <c r="A5" s="2">
        <v>44424</v>
      </c>
      <c r="B5" t="s">
        <v>84</v>
      </c>
      <c r="C5" s="4">
        <v>0</v>
      </c>
      <c r="D5" s="4">
        <v>4.2599999999999999E-2</v>
      </c>
      <c r="E5" t="s">
        <v>157</v>
      </c>
      <c r="F5" t="s">
        <v>157</v>
      </c>
      <c r="G5" s="5">
        <v>8.6800000000000002E-2</v>
      </c>
      <c r="H5" s="5">
        <v>0.18190000000000001</v>
      </c>
      <c r="I5" s="5">
        <v>0.1169</v>
      </c>
      <c r="J5" s="5">
        <v>0.27850000000000003</v>
      </c>
      <c r="K5" s="5">
        <v>5.6349999999999997E-2</v>
      </c>
      <c r="L5" s="6">
        <v>-2.8500000000000001E-2</v>
      </c>
      <c r="M5" s="5">
        <v>9.3350000000000002E-2</v>
      </c>
      <c r="N5" s="5">
        <v>5.0199999999999988E-2</v>
      </c>
      <c r="O5" s="4">
        <v>4.5099737146670552E-2</v>
      </c>
      <c r="P5" s="5">
        <v>7.4050000000000005E-2</v>
      </c>
      <c r="Q5" s="5">
        <v>0.1507</v>
      </c>
      <c r="R5" s="4">
        <v>0.14417818385208839</v>
      </c>
      <c r="S5" s="6">
        <v>-0.10595</v>
      </c>
      <c r="T5" s="6">
        <v>-0.1138</v>
      </c>
      <c r="U5" s="4">
        <v>0.1726323390956726</v>
      </c>
      <c r="V5" s="6">
        <v>-0.22070000000000001</v>
      </c>
      <c r="W5" s="6">
        <v>-0.13789999999999999</v>
      </c>
      <c r="X5" s="4">
        <v>0.25025149045488282</v>
      </c>
      <c r="Y5" s="5">
        <v>0.1794</v>
      </c>
      <c r="Z5" s="5">
        <v>7.8600000000000003E-2</v>
      </c>
      <c r="AA5" s="4">
        <v>0.1163526824991888</v>
      </c>
      <c r="AB5" s="6">
        <v>-0.2641</v>
      </c>
      <c r="AC5" s="6">
        <v>-0.11269999999999999</v>
      </c>
      <c r="AD5" s="4">
        <v>7.8572175764065569E-2</v>
      </c>
      <c r="AE5" s="5">
        <v>7.999999999999996E-4</v>
      </c>
      <c r="AF5" s="5">
        <v>0.17</v>
      </c>
      <c r="AG5" s="4">
        <v>6.4960070684596777E-2</v>
      </c>
      <c r="AH5" s="5">
        <v>0.17294999999999999</v>
      </c>
      <c r="AI5" s="6">
        <v>-3.0000000000000001E-3</v>
      </c>
      <c r="AJ5" s="4">
        <v>3.494660146981024E-2</v>
      </c>
      <c r="AK5" s="5">
        <v>0.19564999999999999</v>
      </c>
      <c r="AL5" s="5">
        <v>0.1946</v>
      </c>
      <c r="AM5" s="4">
        <v>0.15710922665643731</v>
      </c>
      <c r="AN5" s="5">
        <v>2.7300000000000001E-2</v>
      </c>
      <c r="AO5" s="5">
        <v>6.9199999999999998E-2</v>
      </c>
      <c r="AP5" s="4">
        <v>6.9290723624698111E-2</v>
      </c>
      <c r="AQ5" s="5">
        <v>0.13245000000000001</v>
      </c>
      <c r="AR5" s="5">
        <v>0.26960000000000001</v>
      </c>
      <c r="AS5" s="4">
        <v>8.1587157426920229E-2</v>
      </c>
      <c r="AT5" s="5">
        <v>0.13494999999999999</v>
      </c>
      <c r="AU5" s="5">
        <v>0.15049999999999999</v>
      </c>
      <c r="AV5" s="4">
        <v>9.5188409096776325E-2</v>
      </c>
      <c r="AW5" s="6">
        <v>-7.7349999999999988E-2</v>
      </c>
      <c r="AX5" s="5">
        <v>1.06E-2</v>
      </c>
      <c r="AY5" s="4">
        <v>5.3441323192805062E-2</v>
      </c>
      <c r="AZ5" s="5">
        <v>0.16980000000000001</v>
      </c>
      <c r="BA5" s="5">
        <v>4.99E-2</v>
      </c>
      <c r="BB5" s="4">
        <v>8.0565263896286196E-2</v>
      </c>
      <c r="BC5" s="5">
        <v>6.8750000000000006E-2</v>
      </c>
      <c r="BD5" s="5">
        <v>2.2200000000000001E-2</v>
      </c>
      <c r="BE5" s="4">
        <v>0.13851882434874491</v>
      </c>
      <c r="BF5" s="6">
        <v>-0.10829999999999999</v>
      </c>
      <c r="BG5" s="6">
        <v>-2.1600000000000001E-2</v>
      </c>
      <c r="BH5" s="4">
        <v>0.119801643542698</v>
      </c>
      <c r="BI5" s="5">
        <v>0.1825</v>
      </c>
      <c r="BJ5" s="5">
        <v>0.22170000000000001</v>
      </c>
      <c r="BK5" s="4">
        <v>6.3679752352033478E-2</v>
      </c>
      <c r="BL5" s="5">
        <v>0.18965000000000001</v>
      </c>
      <c r="BM5" s="5">
        <v>0.1426</v>
      </c>
      <c r="BN5" s="4">
        <v>4.9795920856262187E-2</v>
      </c>
      <c r="BO5" s="6">
        <v>-2.4750000000000001E-2</v>
      </c>
      <c r="BP5" s="5">
        <v>0.18490000000000001</v>
      </c>
      <c r="BQ5" s="4">
        <v>7.1608588370053405E-2</v>
      </c>
      <c r="BR5" s="5">
        <v>0.31595000000000001</v>
      </c>
      <c r="BS5" s="5">
        <v>0.34020000000000011</v>
      </c>
      <c r="CJ5" s="13" t="s">
        <v>235</v>
      </c>
      <c r="CK5" s="12">
        <f>IFERROR(AVERAGE(K$2:K$23),NA())</f>
        <v>-6.8114035087719332E-3</v>
      </c>
      <c r="CL5" s="12">
        <f>IFERROR(AVERAGE(L$2:L$23),NA())</f>
        <v>0.12572500000000003</v>
      </c>
      <c r="CM5" s="13"/>
      <c r="CN5" s="13" t="s">
        <v>239</v>
      </c>
      <c r="CO5" s="12">
        <f>IFERROR(AVERAGE(DB$2:DB$23),NA())</f>
        <v>0.55165406589137767</v>
      </c>
      <c r="CP5" s="12">
        <f>IFERROR(AVERAGE(DJ$2:DJ$23),NA())</f>
        <v>0.30971206662800005</v>
      </c>
      <c r="CQ5" s="13"/>
      <c r="CR5" s="13" t="s">
        <v>235</v>
      </c>
      <c r="CS5" s="12">
        <f>IFERROR(AVERAGEIFS(K$2:K$23,$A$2:$A$23,"&gt;"&amp;$CS$16),NA())</f>
        <v>-2.4894047619047628E-2</v>
      </c>
      <c r="CT5" s="12">
        <f>IFERROR(AVERAGEIFS(L$2:L$23,$A$2:$A$23,"&gt;"&amp;$CS$16),NA())</f>
        <v>0.12563333333333335</v>
      </c>
      <c r="CU5" s="13"/>
      <c r="CV5" s="13" t="s">
        <v>239</v>
      </c>
      <c r="CW5" s="12">
        <f>IFERROR(AVERAGEIFS(DB$2:DB$23,$A$2:$A$23,"&gt;"&amp;$CS$16),NA())</f>
        <v>0.76617862371874368</v>
      </c>
      <c r="CX5" s="12">
        <f>IFERROR(AVERAGEIFS(DJ$2:DJ$23,$A$2:$A$23,"&gt;"&amp;$CS$16),NA())</f>
        <v>0.37142579060116671</v>
      </c>
      <c r="CZ5">
        <f>IF(P5="","",P5)</f>
        <v>7.4050000000000005E-2</v>
      </c>
      <c r="DA5">
        <f>IF(S5="","",(1+CZ5)*(1+S5)-1)</f>
        <v>-3.9745597500000063E-2</v>
      </c>
      <c r="DB5">
        <f>IF(V5="","",(1+DA5)*(1+V5)-1)</f>
        <v>-0.25167374413175003</v>
      </c>
      <c r="DC5">
        <f>IF(Y5="","",(1+DB5)*(1+Y5)-1)</f>
        <v>-0.11742401382898604</v>
      </c>
      <c r="DD5">
        <f>IF(AB5="","",(1+DC5)*(1+AB5)-1)</f>
        <v>-0.35051233177675079</v>
      </c>
      <c r="DE5">
        <f>IF(AE5="","",(1+DD5)*(1+AE5)-1)</f>
        <v>-0.3499927416421722</v>
      </c>
      <c r="DF5">
        <f>IF(AH5="","",(1+DE5)*(1+AH5)-1)</f>
        <v>-0.23757398630918591</v>
      </c>
      <c r="DG5">
        <f>IF(AK5="","",(1+DF5)*(1+AK5)-1)</f>
        <v>-8.8405336730578044E-2</v>
      </c>
      <c r="DH5">
        <f>IF(Q5="","",Q5)</f>
        <v>0.1507</v>
      </c>
      <c r="DI5">
        <f>IF(T5="","",(1+DH5)*(1+T5)-1)</f>
        <v>1.9750340000000088E-2</v>
      </c>
      <c r="DJ5">
        <f>IF(W5="","",(1+DI5)*(1+W5)-1)</f>
        <v>-0.12087323188599997</v>
      </c>
      <c r="DK5">
        <f>IF(Z5="","",(1+DJ5)*(1+Z5)-1)</f>
        <v>-5.1773867912239591E-2</v>
      </c>
      <c r="DL5">
        <f>IF(AC5="","",(1+DK5)*(1+AC5)-1)</f>
        <v>-0.15863895299853026</v>
      </c>
      <c r="DM5">
        <f>IF(AF5="","",(1+DL5)*(1+AF5)-1)</f>
        <v>-1.5607575008280472E-2</v>
      </c>
      <c r="DN5">
        <f>IF(AI5="","",(1+DM5)*(1+AI5)-1)</f>
        <v>-1.8560752283255599E-2</v>
      </c>
      <c r="DO5">
        <f>IF(AL5="","",(1+DN5)*(1+AL5)-1)</f>
        <v>0.17242732532242266</v>
      </c>
    </row>
    <row r="6" spans="1:119" x14ac:dyDescent="0.2">
      <c r="A6" s="2">
        <v>44606</v>
      </c>
      <c r="B6" t="s">
        <v>86</v>
      </c>
      <c r="C6" s="4">
        <v>1.1900000000000001E-2</v>
      </c>
      <c r="D6" s="4">
        <v>4.2799999999999998E-2</v>
      </c>
      <c r="E6" t="s">
        <v>87</v>
      </c>
      <c r="F6" t="s">
        <v>87</v>
      </c>
      <c r="G6" s="6">
        <v>-4.0899999999999999E-2</v>
      </c>
      <c r="H6" s="6">
        <v>-2.8500000000000001E-2</v>
      </c>
      <c r="I6" s="6">
        <v>-0.15709999999999999</v>
      </c>
      <c r="J6" s="5">
        <v>5.0199999999999988E-2</v>
      </c>
      <c r="K6" s="5">
        <v>8.4000000000000005E-2</v>
      </c>
      <c r="L6" s="5">
        <v>0.1507</v>
      </c>
      <c r="M6" s="5">
        <v>0.1716</v>
      </c>
      <c r="N6" s="6">
        <v>-0.1138</v>
      </c>
      <c r="O6" s="4">
        <v>1.2185511339830139E-2</v>
      </c>
      <c r="P6" s="6">
        <v>-0.2147</v>
      </c>
      <c r="Q6" s="6">
        <v>-0.13789999999999999</v>
      </c>
      <c r="S6" s="6">
        <v>-8.0100000000000005E-2</v>
      </c>
      <c r="T6" s="5">
        <v>7.8600000000000003E-2</v>
      </c>
      <c r="V6" s="6">
        <v>-4.3099999999999999E-2</v>
      </c>
      <c r="W6" s="6">
        <v>-0.11269999999999999</v>
      </c>
      <c r="Y6" s="5">
        <v>6.9999999999999993E-3</v>
      </c>
      <c r="Z6" s="5">
        <v>0.17</v>
      </c>
      <c r="AA6" s="4">
        <v>1.7018554613246389E-2</v>
      </c>
      <c r="AB6" s="5">
        <v>4.3499999999999997E-2</v>
      </c>
      <c r="AC6" s="6">
        <v>-3.0000000000000001E-3</v>
      </c>
      <c r="AD6" s="4">
        <v>1.9830561513299611E-2</v>
      </c>
      <c r="AE6" s="5">
        <v>5.8299999999999998E-2</v>
      </c>
      <c r="AF6" s="5">
        <v>0.1946</v>
      </c>
      <c r="AG6" s="4">
        <v>1.5687019013901161E-2</v>
      </c>
      <c r="AH6" s="5">
        <v>0.1321</v>
      </c>
      <c r="AI6" s="5">
        <v>6.9199999999999998E-2</v>
      </c>
      <c r="AK6" s="5">
        <v>6.1799999999999987E-2</v>
      </c>
      <c r="AL6" s="5">
        <v>0.26960000000000001</v>
      </c>
      <c r="AM6" s="4">
        <v>4.1179589733099729E-2</v>
      </c>
      <c r="AN6" s="5">
        <v>0.56340000000000001</v>
      </c>
      <c r="AO6" s="5">
        <v>0.15049999999999999</v>
      </c>
      <c r="AP6" s="4">
        <v>3.1222833796893359E-2</v>
      </c>
      <c r="AQ6" s="6">
        <v>-0.2137</v>
      </c>
      <c r="AR6" s="5">
        <v>1.06E-2</v>
      </c>
      <c r="AS6" s="4">
        <v>1.020683173145912E-2</v>
      </c>
      <c r="AT6" s="6">
        <v>-1.11E-2</v>
      </c>
      <c r="AU6" s="5">
        <v>4.99E-2</v>
      </c>
      <c r="AV6" s="4">
        <v>4.4336326359926126E-3</v>
      </c>
      <c r="AW6" s="5">
        <v>4.6999999999999993E-3</v>
      </c>
      <c r="AX6" s="5">
        <v>2.2200000000000001E-2</v>
      </c>
      <c r="AY6" s="4">
        <v>2.3471941842505919E-2</v>
      </c>
      <c r="AZ6" s="6">
        <v>-3.9600000000000003E-2</v>
      </c>
      <c r="BA6" s="6">
        <v>-2.1600000000000001E-2</v>
      </c>
      <c r="BB6" s="4">
        <v>2.4104406472204298E-3</v>
      </c>
      <c r="BC6" s="5">
        <v>0.31390000000000001</v>
      </c>
      <c r="BD6" s="5">
        <v>0.22170000000000001</v>
      </c>
      <c r="BE6" s="4">
        <v>2.3623488022934729E-2</v>
      </c>
      <c r="BF6" s="5">
        <v>0.97129999999999994</v>
      </c>
      <c r="BG6" s="5">
        <v>0.1426</v>
      </c>
      <c r="BH6" s="4">
        <v>2.5770479406663108E-2</v>
      </c>
      <c r="BI6" s="5">
        <v>0.62029999999999996</v>
      </c>
      <c r="BJ6" s="5">
        <v>0.18490000000000001</v>
      </c>
      <c r="BK6" s="4">
        <v>5.1357884567679292E-2</v>
      </c>
      <c r="BL6" s="5">
        <v>0.70550000000000002</v>
      </c>
      <c r="BM6" s="5">
        <v>0.34020000000000011</v>
      </c>
      <c r="CJ6" s="13" t="s">
        <v>236</v>
      </c>
      <c r="CK6" s="12">
        <f>IFERROR(AVERAGE(M$2:M$23),NA())</f>
        <v>0.12368333333333333</v>
      </c>
      <c r="CL6" s="12">
        <f>IFERROR(AVERAGE(N$2:N$23),NA())</f>
        <v>0.10567619047619049</v>
      </c>
      <c r="CM6" s="13"/>
      <c r="CN6" s="13" t="s">
        <v>240</v>
      </c>
      <c r="CO6" s="12">
        <f>IFERROR(AVERAGE(DC$2:DC$23),NA())</f>
        <v>0.32428166372249451</v>
      </c>
      <c r="CP6" s="12">
        <f>IFERROR(AVERAGE(DK$2:DK$23),NA())</f>
        <v>0.36338416527289502</v>
      </c>
      <c r="CQ6" s="13"/>
      <c r="CR6" s="13" t="s">
        <v>236</v>
      </c>
      <c r="CS6" s="12">
        <f>IFERROR(AVERAGEIFS(M$2:M$23,$A$2:$A$23,"&gt;"&amp;$CS$16),NA())</f>
        <v>0.18515119047619047</v>
      </c>
      <c r="CT6" s="12">
        <f>IFERROR(AVERAGEIFS(N$2:N$23,$A$2:$A$23,"&gt;"&amp;$CS$16),NA())</f>
        <v>0.14912666666666669</v>
      </c>
      <c r="CU6" s="13"/>
      <c r="CV6" s="13" t="s">
        <v>240</v>
      </c>
      <c r="CW6" s="12">
        <f>IFERROR(AVERAGEIFS(DC$2:DC$23,$A$2:$A$23,"&gt;"&amp;$CS$16),NA())</f>
        <v>0.45503081093992409</v>
      </c>
      <c r="CX6" s="12">
        <f>IFERROR(AVERAGEIFS(DK$2:DK$23,$A$2:$A$23,"&gt;"&amp;$CS$16),NA())</f>
        <v>0.4434072965393015</v>
      </c>
      <c r="CZ6">
        <f>IF(P6="","",P6)</f>
        <v>-0.2147</v>
      </c>
      <c r="DA6">
        <f>IF(S6="","",(1+CZ6)*(1+S6)-1)</f>
        <v>-0.27760253000000001</v>
      </c>
      <c r="DB6">
        <f>IF(V6="","",(1+DA6)*(1+V6)-1)</f>
        <v>-0.30873786095700007</v>
      </c>
      <c r="DC6">
        <f>IF(Y6="","",(1+DB6)*(1+Y6)-1)</f>
        <v>-0.30389902598369911</v>
      </c>
      <c r="DD6">
        <f>IF(AB6="","",(1+DC6)*(1+AB6)-1)</f>
        <v>-0.27361863361398997</v>
      </c>
      <c r="DE6">
        <f>IF(AE6="","",(1+DD6)*(1+AE6)-1)</f>
        <v>-0.2312705999536856</v>
      </c>
      <c r="DF6">
        <f>IF(AH6="","",(1+DE6)*(1+AH6)-1)</f>
        <v>-0.12972144620756754</v>
      </c>
      <c r="DG6">
        <f>IF(AK6="","",(1+DF6)*(1+AK6)-1)</f>
        <v>-7.5938231583195126E-2</v>
      </c>
      <c r="DH6">
        <f>IF(Q6="","",Q6)</f>
        <v>-0.13789999999999999</v>
      </c>
      <c r="DI6">
        <f>IF(T6="","",(1+DH6)*(1+T6)-1)</f>
        <v>-7.0138939999999983E-2</v>
      </c>
      <c r="DJ6">
        <f>IF(W6="","",(1+DI6)*(1+W6)-1)</f>
        <v>-0.17493428146199996</v>
      </c>
      <c r="DK6">
        <f>IF(Z6="","",(1+DJ6)*(1+Z6)-1)</f>
        <v>-3.4673109310540018E-2</v>
      </c>
      <c r="DL6">
        <f>IF(AC6="","",(1+DK6)*(1+AC6)-1)</f>
        <v>-3.7569089982608439E-2</v>
      </c>
      <c r="DM6">
        <f>IF(AF6="","",(1+DL6)*(1+AF6)-1)</f>
        <v>0.14971996510677577</v>
      </c>
      <c r="DN6">
        <f>IF(AI6="","",(1+DM6)*(1+AI6)-1)</f>
        <v>0.22928058669216456</v>
      </c>
      <c r="DO6">
        <f>IF(AL6="","",(1+DN6)*(1+AL6)-1)</f>
        <v>0.56069463286437227</v>
      </c>
    </row>
    <row r="7" spans="1:119" x14ac:dyDescent="0.2">
      <c r="A7" s="2">
        <v>44606</v>
      </c>
      <c r="B7" t="s">
        <v>92</v>
      </c>
      <c r="C7" s="4">
        <v>0</v>
      </c>
      <c r="D7" s="4">
        <v>6.7000000000000004E-2</v>
      </c>
      <c r="E7" t="s">
        <v>93</v>
      </c>
      <c r="F7" t="s">
        <v>93</v>
      </c>
      <c r="G7" s="6">
        <v>-8.3699999999999997E-2</v>
      </c>
      <c r="H7" s="6">
        <v>-2.8500000000000001E-2</v>
      </c>
      <c r="I7" s="6">
        <v>-5.4000000000000013E-2</v>
      </c>
      <c r="J7" s="5">
        <v>5.0199999999999988E-2</v>
      </c>
      <c r="K7" s="6">
        <v>-5.2400000000000002E-2</v>
      </c>
      <c r="L7" s="5">
        <v>0.1507</v>
      </c>
      <c r="M7" s="6">
        <v>-4.7199999999999999E-2</v>
      </c>
      <c r="N7" s="6">
        <v>-0.1138</v>
      </c>
      <c r="P7" s="6">
        <v>-8.7400000000000005E-2</v>
      </c>
      <c r="Q7" s="6">
        <v>-0.13789999999999999</v>
      </c>
      <c r="S7" s="6">
        <v>-0.1479</v>
      </c>
      <c r="T7" s="5">
        <v>7.8600000000000003E-2</v>
      </c>
      <c r="V7" s="6">
        <v>-0.15359999999999999</v>
      </c>
      <c r="W7" s="6">
        <v>-0.11269999999999999</v>
      </c>
      <c r="Y7" s="6">
        <v>-4.4800000000000013E-2</v>
      </c>
      <c r="Z7" s="5">
        <v>0.17</v>
      </c>
      <c r="AB7" s="5">
        <v>4.4800000000000013E-2</v>
      </c>
      <c r="AC7" s="6">
        <v>-3.0000000000000001E-3</v>
      </c>
      <c r="AE7" s="5">
        <v>0.2016</v>
      </c>
      <c r="AF7" s="5">
        <v>0.1946</v>
      </c>
      <c r="AH7" s="5">
        <v>0.1082</v>
      </c>
      <c r="AI7" s="5">
        <v>6.9199999999999998E-2</v>
      </c>
      <c r="AK7" s="5">
        <v>0.1246</v>
      </c>
      <c r="AL7" s="5">
        <v>0.26960000000000001</v>
      </c>
      <c r="AN7" s="6">
        <v>-0.28949999999999998</v>
      </c>
      <c r="AO7" s="5">
        <v>0.15049999999999999</v>
      </c>
      <c r="AQ7" s="6">
        <v>-0.3589</v>
      </c>
      <c r="AR7" s="5">
        <v>1.06E-2</v>
      </c>
      <c r="AT7" s="5">
        <v>0.25650000000000001</v>
      </c>
      <c r="AU7" s="5">
        <v>4.99E-2</v>
      </c>
      <c r="AW7" s="6">
        <v>-5.7099999999999998E-2</v>
      </c>
      <c r="AX7" s="5">
        <v>2.2200000000000001E-2</v>
      </c>
      <c r="AZ7" s="6">
        <v>-8.6899999999999991E-2</v>
      </c>
      <c r="BA7" s="6">
        <v>-2.1600000000000001E-2</v>
      </c>
      <c r="BC7" s="5">
        <v>0.1072</v>
      </c>
      <c r="BD7" s="5">
        <v>0.22170000000000001</v>
      </c>
      <c r="BE7" s="4">
        <v>1.7060410156834939E-2</v>
      </c>
      <c r="BF7" s="5">
        <v>0.48870000000000002</v>
      </c>
      <c r="BG7" s="5">
        <v>0.1426</v>
      </c>
      <c r="BH7" s="4">
        <v>2.1820623343951741E-3</v>
      </c>
      <c r="BI7" s="5">
        <v>0.30009999999999998</v>
      </c>
      <c r="BJ7" s="5">
        <v>0.18490000000000001</v>
      </c>
      <c r="BK7" s="4">
        <v>5.7678323794157884E-3</v>
      </c>
      <c r="BL7" s="5">
        <v>1.3424</v>
      </c>
      <c r="BM7" s="5">
        <v>0.34020000000000011</v>
      </c>
      <c r="CJ7" s="13" t="s">
        <v>237</v>
      </c>
      <c r="CK7" s="12">
        <f>IFERROR(AVERAGE(P$2:P$23),NA())</f>
        <v>0.18765166666666666</v>
      </c>
      <c r="CL7" s="12">
        <f>IFERROR(AVERAGE(Q$2:Q$23),NA())</f>
        <v>0.11448000000000003</v>
      </c>
      <c r="CM7" s="13"/>
      <c r="CN7" s="13" t="s">
        <v>241</v>
      </c>
      <c r="CO7" s="12">
        <f>IFERROR(AVERAGE(DD$2:DD$23),NA())</f>
        <v>0.48524799146375303</v>
      </c>
      <c r="CP7" s="12">
        <f>IFERROR(AVERAGE(DL$2:DL$23),NA())</f>
        <v>0.4398627179437592</v>
      </c>
      <c r="CQ7" s="13"/>
      <c r="CR7" s="13" t="s">
        <v>237</v>
      </c>
      <c r="CS7" s="12">
        <f>IFERROR(AVERAGEIFS(P$2:P$23,$A$2:$A$23,"&gt;"&amp;$CS$16),NA())</f>
        <v>0.22777948717948721</v>
      </c>
      <c r="CT7" s="12">
        <f>IFERROR(AVERAGEIFS(Q$2:Q$23,$A$2:$A$23,"&gt;"&amp;$CS$16),NA())</f>
        <v>0.13166923076923079</v>
      </c>
      <c r="CU7" s="13"/>
      <c r="CV7" s="13" t="s">
        <v>241</v>
      </c>
      <c r="CW7" s="12">
        <f>IFERROR(AVERAGEIFS(DD$2:DD$23,$A$2:$A$23,"&gt;"&amp;$CS$16),NA())</f>
        <v>0.67716111715462679</v>
      </c>
      <c r="CX7" s="12">
        <f>IFERROR(AVERAGEIFS(DL$2:DL$23,$A$2:$A$23,"&gt;"&amp;$CS$16),NA())</f>
        <v>0.51161696211762098</v>
      </c>
      <c r="CZ7">
        <f>IF(P7="","",P7)</f>
        <v>-8.7400000000000005E-2</v>
      </c>
      <c r="DA7">
        <f>IF(S7="","",(1+CZ7)*(1+S7)-1)</f>
        <v>-0.22237354000000009</v>
      </c>
      <c r="DB7">
        <f>IF(V7="","",(1+DA7)*(1+V7)-1)</f>
        <v>-0.34181696425600006</v>
      </c>
      <c r="DC7">
        <f>IF(Y7="","",(1+DB7)*(1+Y7)-1)</f>
        <v>-0.37130356425733124</v>
      </c>
      <c r="DD7">
        <f>IF(AB7="","",(1+DC7)*(1+AB7)-1)</f>
        <v>-0.34313796393605966</v>
      </c>
      <c r="DE7">
        <f>IF(AE7="","",(1+DD7)*(1+AE7)-1)</f>
        <v>-0.21071457746556932</v>
      </c>
      <c r="DF7">
        <f>IF(AH7="","",(1+DE7)*(1+AH7)-1)</f>
        <v>-0.12531389474734389</v>
      </c>
      <c r="DG7">
        <f>IF(AK7="","",(1+DF7)*(1+AK7)-1)</f>
        <v>-1.6328006032862885E-2</v>
      </c>
      <c r="DH7">
        <f>IF(Q7="","",Q7)</f>
        <v>-0.13789999999999999</v>
      </c>
      <c r="DI7">
        <f>IF(T7="","",(1+DH7)*(1+T7)-1)</f>
        <v>-7.0138939999999983E-2</v>
      </c>
      <c r="DJ7">
        <f>IF(W7="","",(1+DI7)*(1+W7)-1)</f>
        <v>-0.17493428146199996</v>
      </c>
      <c r="DK7">
        <f>IF(Z7="","",(1+DJ7)*(1+Z7)-1)</f>
        <v>-3.4673109310540018E-2</v>
      </c>
      <c r="DL7">
        <f>IF(AC7="","",(1+DK7)*(1+AC7)-1)</f>
        <v>-3.7569089982608439E-2</v>
      </c>
      <c r="DM7">
        <f>IF(AF7="","",(1+DL7)*(1+AF7)-1)</f>
        <v>0.14971996510677577</v>
      </c>
      <c r="DN7">
        <f>IF(AI7="","",(1+DM7)*(1+AI7)-1)</f>
        <v>0.22928058669216456</v>
      </c>
      <c r="DO7">
        <f>IF(AL7="","",(1+DN7)*(1+AL7)-1)</f>
        <v>0.56069463286437227</v>
      </c>
    </row>
    <row r="8" spans="1:119" x14ac:dyDescent="0.2">
      <c r="A8" s="2">
        <v>44879</v>
      </c>
      <c r="B8" t="s">
        <v>82</v>
      </c>
      <c r="C8" s="4">
        <v>0</v>
      </c>
      <c r="D8" s="4">
        <v>7.2000000000000008E-2</v>
      </c>
      <c r="E8" t="s">
        <v>158</v>
      </c>
      <c r="F8" t="s">
        <v>158</v>
      </c>
      <c r="G8" s="6">
        <v>-0.14505000000000001</v>
      </c>
      <c r="H8" s="6">
        <v>-0.1138</v>
      </c>
      <c r="I8" s="6">
        <v>-0.1797</v>
      </c>
      <c r="J8" s="6">
        <v>-0.13789999999999999</v>
      </c>
      <c r="K8" s="5">
        <v>3.8850000000000003E-2</v>
      </c>
      <c r="L8" s="5">
        <v>7.8600000000000003E-2</v>
      </c>
      <c r="M8" s="6">
        <v>-0.24660000000000001</v>
      </c>
      <c r="N8" s="6">
        <v>-0.11269999999999999</v>
      </c>
      <c r="O8" s="4">
        <v>0.17611366548133389</v>
      </c>
      <c r="P8" s="5">
        <v>0.13225000000000001</v>
      </c>
      <c r="Q8" s="5">
        <v>0.17</v>
      </c>
      <c r="R8" s="4">
        <v>0.1845353142315527</v>
      </c>
      <c r="S8" s="5">
        <v>1.2800000000000001E-2</v>
      </c>
      <c r="T8" s="6">
        <v>-3.0000000000000001E-3</v>
      </c>
      <c r="U8" s="4">
        <v>5.97387260425499E-2</v>
      </c>
      <c r="V8" s="5">
        <v>0.28355000000000002</v>
      </c>
      <c r="W8" s="5">
        <v>0.1946</v>
      </c>
      <c r="X8" s="4">
        <v>0.11503127978022901</v>
      </c>
      <c r="Y8" s="5">
        <v>1.4449999999999999E-2</v>
      </c>
      <c r="Z8" s="5">
        <v>6.9199999999999998E-2</v>
      </c>
      <c r="AA8" s="4">
        <v>6.844211211829733E-2</v>
      </c>
      <c r="AB8" s="5">
        <v>0.35060000000000002</v>
      </c>
      <c r="AC8" s="5">
        <v>0.26960000000000001</v>
      </c>
      <c r="AD8" s="4">
        <v>0.109337027069424</v>
      </c>
      <c r="AE8" s="6">
        <v>-4.4200000000000003E-2</v>
      </c>
      <c r="AF8" s="5">
        <v>0.15049999999999999</v>
      </c>
      <c r="AG8" s="4">
        <v>0.1128971115587665</v>
      </c>
      <c r="AH8" s="6">
        <v>-0.1042</v>
      </c>
      <c r="AI8" s="5">
        <v>1.06E-2</v>
      </c>
      <c r="AJ8" s="4">
        <v>8.6224359728782257E-2</v>
      </c>
      <c r="AK8" s="5">
        <v>0.20469999999999999</v>
      </c>
      <c r="AL8" s="5">
        <v>4.99E-2</v>
      </c>
      <c r="AM8" s="4">
        <v>7.381599107760152E-2</v>
      </c>
      <c r="AN8" s="6">
        <v>-5.2500000000000038E-3</v>
      </c>
      <c r="AO8" s="5">
        <v>2.2200000000000001E-2</v>
      </c>
      <c r="AP8" s="4">
        <v>0.1013087542009377</v>
      </c>
      <c r="AQ8" s="6">
        <v>-0.18525</v>
      </c>
      <c r="AR8" s="6">
        <v>-2.1600000000000001E-2</v>
      </c>
      <c r="AS8" s="4">
        <v>9.8614570946374353E-2</v>
      </c>
      <c r="AT8" s="5">
        <v>0.39345000000000002</v>
      </c>
      <c r="AU8" s="5">
        <v>0.22170000000000001</v>
      </c>
      <c r="AV8" s="4">
        <v>3.1576561889427472E-2</v>
      </c>
      <c r="AW8" s="5">
        <v>0.22925000000000001</v>
      </c>
      <c r="AX8" s="5">
        <v>0.1426</v>
      </c>
      <c r="AY8" s="4">
        <v>4.3875282273435567E-2</v>
      </c>
      <c r="AZ8" s="6">
        <v>-0.1313</v>
      </c>
      <c r="BA8" s="5">
        <v>0.18490000000000001</v>
      </c>
      <c r="BB8" s="4">
        <v>4.3531750318210702E-2</v>
      </c>
      <c r="BC8" s="5">
        <v>1.1061000000000001</v>
      </c>
      <c r="BD8" s="5">
        <v>0.34020000000000011</v>
      </c>
      <c r="CJ8" s="13" t="s">
        <v>238</v>
      </c>
      <c r="CK8" s="12">
        <f>IFERROR(AVERAGE(S$2:S$23),NA())</f>
        <v>0.17417192982456142</v>
      </c>
      <c r="CL8" s="12">
        <f>IFERROR(AVERAGE(T$2:T$23),NA())</f>
        <v>9.3194736842105289E-2</v>
      </c>
      <c r="CM8" s="13"/>
      <c r="CN8" s="13" t="s">
        <v>242</v>
      </c>
      <c r="CO8" s="12">
        <f>IFERROR(AVERAGE(DE$2:DE$23),NA())</f>
        <v>0.52600427793712268</v>
      </c>
      <c r="CP8" s="12">
        <f>IFERROR(AVERAGE(DM$2:DM$23),NA())</f>
        <v>0.54482378220887717</v>
      </c>
      <c r="CQ8" s="13"/>
      <c r="CR8" s="13" t="s">
        <v>238</v>
      </c>
      <c r="CS8" s="12">
        <f>IFERROR(AVERAGEIFS(S$2:S$23,$A$2:$A$23,"&gt;"&amp;$CS$16),NA())</f>
        <v>0.23018472222222222</v>
      </c>
      <c r="CT8" s="12">
        <f>IFERROR(AVERAGEIFS(T$2:T$23,$A$2:$A$23,"&gt;"&amp;$CS$16),NA())</f>
        <v>9.3266666666666678E-2</v>
      </c>
      <c r="CU8" s="13"/>
      <c r="CV8" s="13" t="s">
        <v>242</v>
      </c>
      <c r="CW8" s="12">
        <f>IFERROR(AVERAGEIFS(DE$2:DE$23,$A$2:$A$23,"&gt;"&amp;$CS$16),NA())</f>
        <v>0.75755817926063318</v>
      </c>
      <c r="CX8" s="12">
        <f>IFERROR(AVERAGEIFS(DM$2:DM$23,$A$2:$A$23,"&gt;"&amp;$CS$16),NA())</f>
        <v>0.61858533040768759</v>
      </c>
      <c r="CZ8">
        <f>IF(P8="","",P8)</f>
        <v>0.13225000000000001</v>
      </c>
      <c r="DA8">
        <f>IF(S8="","",(1+CZ8)*(1+S8)-1)</f>
        <v>0.14674279999999995</v>
      </c>
      <c r="DB8">
        <f>IF(V8="","",(1+DA8)*(1+V8)-1)</f>
        <v>0.47190172093999982</v>
      </c>
      <c r="DC8">
        <f>IF(Y8="","",(1+DB8)*(1+Y8)-1)</f>
        <v>0.49317070080758296</v>
      </c>
      <c r="DD8">
        <f>IF(AB8="","",(1+DC8)*(1+AB8)-1)</f>
        <v>1.0166763485107215</v>
      </c>
      <c r="DE8">
        <f>IF(AE8="","",(1+DD8)*(1+AE8)-1)</f>
        <v>0.92753925390654768</v>
      </c>
      <c r="DF8">
        <f>IF(AH8="","",(1+DE8)*(1+AH8)-1)</f>
        <v>0.72668966364948551</v>
      </c>
      <c r="DG8">
        <f>IF(AK8="","",(1+DF8)*(1+AK8)-1)</f>
        <v>1.080143037798535</v>
      </c>
      <c r="DH8">
        <f>IF(Q8="","",Q8)</f>
        <v>0.17</v>
      </c>
      <c r="DI8">
        <f>IF(T8="","",(1+DH8)*(1+T8)-1)</f>
        <v>0.16649000000000003</v>
      </c>
      <c r="DJ8">
        <f>IF(W8="","",(1+DI8)*(1+W8)-1)</f>
        <v>0.39348895399999995</v>
      </c>
      <c r="DK8">
        <f>IF(Z8="","",(1+DJ8)*(1+Z8)-1)</f>
        <v>0.48991838961679979</v>
      </c>
      <c r="DL8">
        <f>IF(AC8="","",(1+DK8)*(1+AC8)-1)</f>
        <v>0.89160038745748915</v>
      </c>
      <c r="DM8">
        <f>IF(AF8="","",(1+DL8)*(1+AF8)-1)</f>
        <v>1.1762862457698415</v>
      </c>
      <c r="DN8">
        <f>IF(AI8="","",(1+DM8)*(1+AI8)-1)</f>
        <v>1.1993548799750018</v>
      </c>
      <c r="DO8">
        <f>IF(AL8="","",(1+DN8)*(1+AL8)-1)</f>
        <v>1.3091026884857544</v>
      </c>
    </row>
    <row r="9" spans="1:119" x14ac:dyDescent="0.2">
      <c r="A9" s="2">
        <v>45061</v>
      </c>
      <c r="B9" t="s">
        <v>94</v>
      </c>
      <c r="C9" s="4">
        <v>3.9800000000000002E-2</v>
      </c>
      <c r="D9" s="4">
        <v>5.67E-2</v>
      </c>
      <c r="E9" t="s">
        <v>95</v>
      </c>
      <c r="F9" t="s">
        <v>95</v>
      </c>
      <c r="G9" s="5">
        <v>0.16370000000000001</v>
      </c>
      <c r="H9" s="5">
        <v>7.8600000000000003E-2</v>
      </c>
      <c r="I9" s="5">
        <v>2.6100000000000002E-2</v>
      </c>
      <c r="J9" s="6">
        <v>-0.11269999999999999</v>
      </c>
      <c r="K9" s="5">
        <v>8.0000000000000002E-3</v>
      </c>
      <c r="L9" s="5">
        <v>0.17</v>
      </c>
      <c r="M9" s="6">
        <v>-0.24579999999999999</v>
      </c>
      <c r="N9" s="6">
        <v>-3.0000000000000001E-3</v>
      </c>
      <c r="O9" s="4">
        <v>7.4668595125609943E-2</v>
      </c>
      <c r="P9" s="5">
        <v>0.55120000000000002</v>
      </c>
      <c r="Q9" s="5">
        <v>0.1946</v>
      </c>
      <c r="R9" s="4">
        <v>9.0735289196196417E-2</v>
      </c>
      <c r="S9" s="5">
        <v>3.3300000000000003E-2</v>
      </c>
      <c r="T9" s="5">
        <v>6.9199999999999998E-2</v>
      </c>
      <c r="U9" s="4">
        <v>6.4351426917532081E-2</v>
      </c>
      <c r="V9" s="5">
        <v>0.1207</v>
      </c>
      <c r="W9" s="5">
        <v>0.26960000000000001</v>
      </c>
      <c r="X9" s="4">
        <v>3.1903283198031762E-2</v>
      </c>
      <c r="Y9" s="5">
        <v>0.40439999999999998</v>
      </c>
      <c r="Z9" s="5">
        <v>0.15049999999999999</v>
      </c>
      <c r="AA9" s="4">
        <v>3.2441770782569393E-2</v>
      </c>
      <c r="AB9" s="5">
        <v>1.1900000000000001E-2</v>
      </c>
      <c r="AC9" s="5">
        <v>1.06E-2</v>
      </c>
      <c r="AE9" s="6">
        <v>-0.1736</v>
      </c>
      <c r="AF9" s="5">
        <v>4.99E-2</v>
      </c>
      <c r="AH9" s="5">
        <v>0.36059999999999998</v>
      </c>
      <c r="AI9" s="5">
        <v>2.2200000000000001E-2</v>
      </c>
      <c r="AK9" s="6">
        <v>-0.1817</v>
      </c>
      <c r="AL9" s="6">
        <v>-2.1600000000000001E-2</v>
      </c>
      <c r="AM9" s="4">
        <v>5.6762295968588027E-2</v>
      </c>
      <c r="AN9" s="5">
        <v>4.2699999999999988E-2</v>
      </c>
      <c r="AO9" s="5">
        <v>0.22170000000000001</v>
      </c>
      <c r="AP9" s="4">
        <v>6.6894676836821945E-2</v>
      </c>
      <c r="AQ9" s="5">
        <v>0.4622</v>
      </c>
      <c r="AR9" s="5">
        <v>0.1426</v>
      </c>
      <c r="AS9" s="4">
        <v>3.4208380191871682E-2</v>
      </c>
      <c r="AT9" s="6">
        <v>-0.14069999999999999</v>
      </c>
      <c r="AU9" s="5">
        <v>0.18490000000000001</v>
      </c>
      <c r="AW9" s="5">
        <v>6.0299999999999999E-2</v>
      </c>
      <c r="AX9" s="5">
        <v>0.34020000000000011</v>
      </c>
      <c r="CJ9" s="13" t="s">
        <v>239</v>
      </c>
      <c r="CK9" s="12">
        <f>IFERROR(AVERAGE(V$2:V$23),NA())</f>
        <v>6.8487719298245639E-2</v>
      </c>
      <c r="CL9" s="12">
        <f>IFERROR(AVERAGE(W$2:W$23),NA())</f>
        <v>7.1400000000000005E-2</v>
      </c>
      <c r="CM9" s="13"/>
      <c r="CN9" s="13" t="s">
        <v>243</v>
      </c>
      <c r="CO9" s="12">
        <f>IFERROR(AVERAGE(DF$2:DF$23),NA())</f>
        <v>0.78751901736664853</v>
      </c>
      <c r="CP9" s="12">
        <f>IFERROR(AVERAGE(DN$2:DN$23),NA())</f>
        <v>0.70432099937922854</v>
      </c>
      <c r="CQ9" s="13"/>
      <c r="CR9" s="13" t="s">
        <v>239</v>
      </c>
      <c r="CS9" s="12">
        <f>IFERROR(AVERAGEIFS(V$2:V$23,$A$2:$A$23,"&gt;"&amp;$CS$16),NA())</f>
        <v>0.13158472222222223</v>
      </c>
      <c r="CT9" s="12">
        <f>IFERROR(AVERAGEIFS(W$2:W$23,$A$2:$A$23,"&gt;"&amp;$CS$16),NA())</f>
        <v>0.11575833333333335</v>
      </c>
      <c r="CU9" s="13"/>
      <c r="CV9" s="13" t="s">
        <v>243</v>
      </c>
      <c r="CW9" s="12">
        <f>IFERROR(AVERAGEIFS(DF$2:DF$23,$A$2:$A$23,"&gt;"&amp;$CS$16),NA())</f>
        <v>1.2933462038187789</v>
      </c>
      <c r="CX9" s="12">
        <f>IFERROR(AVERAGEIFS(DN$2:DN$23,$A$2:$A$23,"&gt;"&amp;$CS$16),NA())</f>
        <v>0.93639004519070101</v>
      </c>
      <c r="CZ9">
        <f>IF(P9="","",P9)</f>
        <v>0.55120000000000002</v>
      </c>
      <c r="DA9">
        <f>IF(S9="","",(1+CZ9)*(1+S9)-1)</f>
        <v>0.60285496000000038</v>
      </c>
      <c r="DB9">
        <f>IF(V9="","",(1+DA9)*(1+V9)-1)</f>
        <v>0.79631955367200047</v>
      </c>
      <c r="DC9">
        <f>IF(Y9="","",(1+DB9)*(1+Y9)-1)</f>
        <v>1.5227511811769574</v>
      </c>
      <c r="DD9">
        <f>IF(AB9="","",(1+DC9)*(1+AB9)-1)</f>
        <v>1.5527719202329631</v>
      </c>
      <c r="DE9">
        <f>IF(AE9="","",(1+DD9)*(1+AE9)-1)</f>
        <v>1.1096107148805205</v>
      </c>
      <c r="DF9">
        <f>IF(AH9="","",(1+DE9)*(1+AH9)-1)</f>
        <v>1.8703363386664362</v>
      </c>
      <c r="DG9">
        <f>IF(AK9="","",(1+DF9)*(1+AK9)-1)</f>
        <v>1.3487962259307449</v>
      </c>
      <c r="DH9">
        <f>IF(Q9="","",Q9)</f>
        <v>0.1946</v>
      </c>
      <c r="DI9">
        <f>IF(T9="","",(1+DH9)*(1+T9)-1)</f>
        <v>0.27726631999999984</v>
      </c>
      <c r="DJ9">
        <f>IF(W9="","",(1+DI9)*(1+W9)-1)</f>
        <v>0.62161731987199986</v>
      </c>
      <c r="DK9">
        <f>IF(Z9="","",(1+DJ9)*(1+Z9)-1)</f>
        <v>0.86567072651273591</v>
      </c>
      <c r="DL9">
        <f>IF(AC9="","",(1+DK9)*(1+AC9)-1)</f>
        <v>0.88544683621377085</v>
      </c>
      <c r="DM9">
        <f>IF(AF9="","",(1+DL9)*(1+AF9)-1)</f>
        <v>0.97953063334083801</v>
      </c>
      <c r="DN9">
        <f>IF(AI9="","",(1+DM9)*(1+AI9)-1)</f>
        <v>1.0234762134010045</v>
      </c>
      <c r="DO9">
        <f>IF(AL9="","",(1+DN9)*(1+AL9)-1)</f>
        <v>0.97976912719154297</v>
      </c>
    </row>
    <row r="10" spans="1:119" x14ac:dyDescent="0.2">
      <c r="A10" s="2">
        <v>45244</v>
      </c>
      <c r="B10" t="s">
        <v>84</v>
      </c>
      <c r="C10" s="4">
        <v>3.49E-2</v>
      </c>
      <c r="D10" s="4">
        <v>0.15709999999999999</v>
      </c>
      <c r="E10" t="s">
        <v>159</v>
      </c>
      <c r="F10" t="s">
        <v>159</v>
      </c>
      <c r="G10" s="5">
        <v>0.23019999999999999</v>
      </c>
      <c r="H10" s="5">
        <v>0.17</v>
      </c>
      <c r="I10" s="5">
        <v>0.23376666666666671</v>
      </c>
      <c r="J10" s="6">
        <v>-3.0000000000000001E-3</v>
      </c>
      <c r="K10" s="5">
        <v>0.15283333333333329</v>
      </c>
      <c r="L10" s="5">
        <v>0.1946</v>
      </c>
      <c r="M10" s="5">
        <v>8.6966666666666678E-2</v>
      </c>
      <c r="N10" s="5">
        <v>6.9199999999999998E-2</v>
      </c>
      <c r="O10" s="4">
        <v>6.9290723624698111E-2</v>
      </c>
      <c r="P10" s="5">
        <v>0.20323333333333329</v>
      </c>
      <c r="Q10" s="5">
        <v>0.26960000000000001</v>
      </c>
      <c r="R10" s="4">
        <v>8.1587157426920229E-2</v>
      </c>
      <c r="S10" s="5">
        <v>7.856666666666666E-2</v>
      </c>
      <c r="T10" s="5">
        <v>0.15049999999999999</v>
      </c>
      <c r="U10" s="4">
        <v>9.5188409096776325E-2</v>
      </c>
      <c r="V10" s="5">
        <v>3.666666666666667E-3</v>
      </c>
      <c r="W10" s="5">
        <v>1.06E-2</v>
      </c>
      <c r="X10" s="4">
        <v>5.3441323192805062E-2</v>
      </c>
      <c r="Y10" s="5">
        <v>7.2966666666666666E-2</v>
      </c>
      <c r="Z10" s="5">
        <v>4.99E-2</v>
      </c>
      <c r="AA10" s="4">
        <v>8.0565263896286196E-2</v>
      </c>
      <c r="AB10" s="5">
        <v>9.7433333333333344E-2</v>
      </c>
      <c r="AC10" s="5">
        <v>2.2200000000000001E-2</v>
      </c>
      <c r="AD10" s="4">
        <v>0.13851882434874491</v>
      </c>
      <c r="AE10" s="6">
        <v>-4.1766666666666667E-2</v>
      </c>
      <c r="AF10" s="6">
        <v>-2.1600000000000001E-2</v>
      </c>
      <c r="AG10" s="4">
        <v>0.119801643542698</v>
      </c>
      <c r="AH10" s="5">
        <v>0.2026</v>
      </c>
      <c r="AI10" s="5">
        <v>0.22170000000000001</v>
      </c>
      <c r="AJ10" s="4">
        <v>6.3679752352033478E-2</v>
      </c>
      <c r="AK10" s="5">
        <v>4.0366666666666669E-2</v>
      </c>
      <c r="AL10" s="5">
        <v>0.1426</v>
      </c>
      <c r="AM10" s="4">
        <v>4.9795920856262187E-2</v>
      </c>
      <c r="AN10" s="6">
        <v>-2.583333333333333E-2</v>
      </c>
      <c r="AO10" s="5">
        <v>0.18490000000000001</v>
      </c>
      <c r="AP10" s="4">
        <v>7.1608588370053405E-2</v>
      </c>
      <c r="AQ10" s="5">
        <v>0.1139333333333333</v>
      </c>
      <c r="AR10" s="5">
        <v>0.34020000000000011</v>
      </c>
      <c r="CJ10" s="13" t="s">
        <v>240</v>
      </c>
      <c r="CK10" s="12">
        <f>IFERROR(AVERAGE(Y$2:Y$23),NA())</f>
        <v>6.4283333333333345E-2</v>
      </c>
      <c r="CL10" s="12">
        <f>IFERROR(AVERAGE(Z$2:Z$23),NA())</f>
        <v>9.0688235294117667E-2</v>
      </c>
      <c r="CM10" s="13"/>
      <c r="CN10" s="13" t="s">
        <v>244</v>
      </c>
      <c r="CO10" s="12">
        <f>IFERROR(AVERAGE(DG$2:DG$23),NA())</f>
        <v>1.1378110627437441</v>
      </c>
      <c r="CP10" s="12">
        <f>IFERROR(AVERAGE(DO$2:DO$23),NA())</f>
        <v>0.8265630233822947</v>
      </c>
      <c r="CQ10" s="13"/>
      <c r="CR10" s="13" t="s">
        <v>240</v>
      </c>
      <c r="CS10" s="12">
        <f>IFERROR(AVERAGEIFS(Y$2:Y$23,$A$2:$A$23,"&gt;"&amp;$CS$16),NA())</f>
        <v>0.12128166666666665</v>
      </c>
      <c r="CT10" s="12">
        <f>IFERROR(AVERAGEIFS(Z$2:Z$23,$A$2:$A$23,"&gt;"&amp;$CS$16),NA())</f>
        <v>0.11701000000000002</v>
      </c>
      <c r="CU10" s="13"/>
      <c r="CV10" s="13" t="s">
        <v>244</v>
      </c>
      <c r="CW10" s="12">
        <f>IFERROR(AVERAGEIFS(DG$2:DG$23,$A$2:$A$23,"&gt;"&amp;$CS$16),NA())</f>
        <v>2.1666006062289038</v>
      </c>
      <c r="CX10" s="12">
        <f>IFERROR(AVERAGEIFS(DO$2:DO$23,$A$2:$A$23,"&gt;"&amp;$CS$16),NA())</f>
        <v>1.1477774119936939</v>
      </c>
      <c r="CZ10">
        <f>IF(P10="","",P10)</f>
        <v>0.20323333333333329</v>
      </c>
      <c r="DA10">
        <f>IF(S10="","",(1+CZ10)*(1+S10)-1)</f>
        <v>0.29776736555555572</v>
      </c>
      <c r="DB10">
        <f>IF(V10="","",(1+DA10)*(1+V10)-1)</f>
        <v>0.30252584589592613</v>
      </c>
      <c r="DC10">
        <f>IF(Y10="","",(1+DB10)*(1+Y10)-1)</f>
        <v>0.39756681511813219</v>
      </c>
      <c r="DD10">
        <f>IF(AB10="","",(1+DC10)*(1+AB10)-1)</f>
        <v>0.53373640847114201</v>
      </c>
      <c r="DE10">
        <f>IF(AE10="","",(1+DD10)*(1+AE10)-1)</f>
        <v>0.46967735114399733</v>
      </c>
      <c r="DF10">
        <f>IF(AH10="","",(1+DE10)*(1+AH10)-1)</f>
        <v>0.76743398248577099</v>
      </c>
      <c r="DG10">
        <f>IF(AK10="","",(1+DF10)*(1+AK10)-1)</f>
        <v>0.83877940091211323</v>
      </c>
      <c r="DH10">
        <f>IF(Q10="","",Q10)</f>
        <v>0.26960000000000001</v>
      </c>
      <c r="DI10">
        <f>IF(T10="","",(1+DH10)*(1+T10)-1)</f>
        <v>0.46067480000000027</v>
      </c>
      <c r="DJ10">
        <f>IF(W10="","",(1+DI10)*(1+W10)-1)</f>
        <v>0.47615795288000018</v>
      </c>
      <c r="DK10">
        <f>IF(Z10="","",(1+DJ10)*(1+Z10)-1)</f>
        <v>0.54981823472871216</v>
      </c>
      <c r="DL10">
        <f>IF(AC10="","",(1+DK10)*(1+AC10)-1)</f>
        <v>0.58422419953968951</v>
      </c>
      <c r="DM10">
        <f>IF(AF10="","",(1+DL10)*(1+AF10)-1)</f>
        <v>0.55000495682963235</v>
      </c>
      <c r="DN10">
        <f>IF(AI10="","",(1+DM10)*(1+AI10)-1)</f>
        <v>0.89364105575876196</v>
      </c>
      <c r="DO10">
        <f>IF(AL10="","",(1+DN10)*(1+AL10)-1)</f>
        <v>1.1636742703099614</v>
      </c>
    </row>
    <row r="11" spans="1:119" x14ac:dyDescent="0.2">
      <c r="A11" s="2">
        <v>45336</v>
      </c>
      <c r="B11" t="s">
        <v>98</v>
      </c>
      <c r="C11" s="4">
        <v>2.7400000000000001E-2</v>
      </c>
      <c r="D11" s="4">
        <v>4.5699999999999998E-2</v>
      </c>
      <c r="E11" t="s">
        <v>99</v>
      </c>
      <c r="F11" t="s">
        <v>99</v>
      </c>
      <c r="G11" s="6">
        <v>-0.22289999999999999</v>
      </c>
      <c r="H11" s="6">
        <v>-3.0000000000000001E-3</v>
      </c>
      <c r="I11" s="5">
        <v>0.30085000000000001</v>
      </c>
      <c r="J11" s="5">
        <v>0.1946</v>
      </c>
      <c r="K11" s="6">
        <v>-8.5000000000000006E-2</v>
      </c>
      <c r="L11" s="5">
        <v>6.9199999999999998E-2</v>
      </c>
      <c r="M11" s="5">
        <v>0.50329999999999997</v>
      </c>
      <c r="N11" s="5">
        <v>0.26960000000000001</v>
      </c>
      <c r="O11" s="4">
        <v>4.8878099681026882E-2</v>
      </c>
      <c r="P11" s="6">
        <v>-0.11</v>
      </c>
      <c r="Q11" s="5">
        <v>0.15049999999999999</v>
      </c>
      <c r="R11" s="4">
        <v>7.839892430631791E-2</v>
      </c>
      <c r="S11" s="5">
        <v>9.4E-2</v>
      </c>
      <c r="T11" s="5">
        <v>1.06E-2</v>
      </c>
      <c r="U11" s="4">
        <v>6.208710352041516E-2</v>
      </c>
      <c r="V11" s="5">
        <v>0.44355000000000011</v>
      </c>
      <c r="W11" s="5">
        <v>4.99E-2</v>
      </c>
      <c r="X11" s="4">
        <v>3.3658632647477413E-2</v>
      </c>
      <c r="Y11" s="5">
        <v>7.7699999999999991E-2</v>
      </c>
      <c r="Z11" s="5">
        <v>2.2200000000000001E-2</v>
      </c>
      <c r="AA11" s="4">
        <v>3.5489012644823688E-2</v>
      </c>
      <c r="AB11" s="6">
        <v>-0.10165</v>
      </c>
      <c r="AC11" s="6">
        <v>-2.1600000000000001E-2</v>
      </c>
      <c r="AD11" s="4">
        <v>7.4862380888199687E-2</v>
      </c>
      <c r="AE11" s="5">
        <v>0.1542</v>
      </c>
      <c r="AF11" s="5">
        <v>0.22170000000000001</v>
      </c>
      <c r="AG11" s="4">
        <v>7.9727047634197579E-2</v>
      </c>
      <c r="AH11" s="5">
        <v>0.80859999999999999</v>
      </c>
      <c r="AI11" s="5">
        <v>0.1426</v>
      </c>
      <c r="AJ11" s="4">
        <v>8.591718363738611E-2</v>
      </c>
      <c r="AK11" s="5">
        <v>0.57784999999999997</v>
      </c>
      <c r="AL11" s="5">
        <v>0.18490000000000001</v>
      </c>
      <c r="AM11" s="4">
        <v>0.1201502682787316</v>
      </c>
      <c r="AN11" s="5">
        <v>0.69224999999999992</v>
      </c>
      <c r="AO11" s="5">
        <v>0.34020000000000011</v>
      </c>
      <c r="CJ11" s="13" t="s">
        <v>241</v>
      </c>
      <c r="CK11" s="12">
        <f>IFERROR(AVERAGE(AB$2:AB$23),NA())</f>
        <v>0.12425520833333334</v>
      </c>
      <c r="CL11" s="12">
        <f>IFERROR(AVERAGE(AC$2:AC$23),NA())</f>
        <v>9.3050000000000008E-2</v>
      </c>
      <c r="CM11" s="13"/>
      <c r="CN11" s="13"/>
      <c r="CO11" s="13"/>
      <c r="CP11" s="13"/>
      <c r="CQ11" s="13"/>
      <c r="CR11" s="13" t="s">
        <v>241</v>
      </c>
      <c r="CS11" s="12">
        <f>IFERROR(AVERAGEIFS(AB$2:AB$23,$A$2:$A$23,"&gt;"&amp;$CS$16),NA())</f>
        <v>0.17379259259259261</v>
      </c>
      <c r="CT11" s="12">
        <f>IFERROR(AVERAGEIFS(AC$2:AC$23,$A$2:$A$23,"&gt;"&amp;$CS$16),NA())</f>
        <v>0.11760000000000002</v>
      </c>
      <c r="CU11" s="13"/>
      <c r="CV11" s="13"/>
      <c r="CW11" s="13"/>
      <c r="CX11" s="13"/>
      <c r="CZ11">
        <f>IF(P11="","",P11)</f>
        <v>-0.11</v>
      </c>
      <c r="DA11">
        <f>IF(S11="","",(1+CZ11)*(1+S11)-1)</f>
        <v>-2.6339999999999919E-2</v>
      </c>
      <c r="DB11">
        <f>IF(V11="","",(1+DA11)*(1+V11)-1)</f>
        <v>0.40552689300000022</v>
      </c>
      <c r="DC11">
        <f>IF(Y11="","",(1+DB11)*(1+Y11)-1)</f>
        <v>0.5147363325861003</v>
      </c>
      <c r="DD11">
        <f>IF(AB11="","",(1+DC11)*(1+AB11)-1)</f>
        <v>0.36076338437872324</v>
      </c>
      <c r="DE11">
        <f>IF(AE11="","",(1+DD11)*(1+AE11)-1)</f>
        <v>0.57059309824992233</v>
      </c>
      <c r="DF11">
        <f>IF(AH11="","",(1+DE11)*(1+AH11)-1)</f>
        <v>1.8405746774948093</v>
      </c>
      <c r="DG11">
        <f>IF(AK11="","",(1+DF11)*(1+AK11)-1)</f>
        <v>3.4820007548851848</v>
      </c>
      <c r="DH11">
        <f>IF(Q11="","",Q11)</f>
        <v>0.15049999999999999</v>
      </c>
      <c r="DI11">
        <f>IF(T11="","",(1+DH11)*(1+T11)-1)</f>
        <v>0.16269529999999999</v>
      </c>
      <c r="DJ11">
        <f>IF(W11="","",(1+DI11)*(1+W11)-1)</f>
        <v>0.22071379547000003</v>
      </c>
      <c r="DK11">
        <f>IF(Z11="","",(1+DJ11)*(1+Z11)-1)</f>
        <v>0.2478136417294341</v>
      </c>
      <c r="DL11">
        <f>IF(AC11="","",(1+DK11)*(1+AC11)-1)</f>
        <v>0.22086086706807828</v>
      </c>
      <c r="DM11">
        <f>IF(AF11="","",(1+DL11)*(1+AF11)-1)</f>
        <v>0.49152572129707117</v>
      </c>
      <c r="DN11">
        <f>IF(AI11="","",(1+DM11)*(1+AI11)-1)</f>
        <v>0.7042172891540337</v>
      </c>
      <c r="DO11">
        <f>IF(AL11="","",(1+DN11)*(1+AL11)-1)</f>
        <v>1.0193270659186147</v>
      </c>
    </row>
    <row r="12" spans="1:119" x14ac:dyDescent="0.2">
      <c r="A12" s="2">
        <v>45336</v>
      </c>
      <c r="B12" t="s">
        <v>88</v>
      </c>
      <c r="C12" s="4">
        <v>1.66E-2</v>
      </c>
      <c r="D12" s="4">
        <v>4.5599999999999988E-2</v>
      </c>
      <c r="E12" t="s">
        <v>89</v>
      </c>
      <c r="F12" t="s">
        <v>89</v>
      </c>
      <c r="G12" s="6">
        <v>-0.20499999999999999</v>
      </c>
      <c r="H12" s="6">
        <v>-3.0000000000000001E-3</v>
      </c>
      <c r="I12" s="5">
        <v>0.44130000000000003</v>
      </c>
      <c r="J12" s="5">
        <v>0.1946</v>
      </c>
      <c r="K12" s="6">
        <v>-9.7999999999999997E-3</v>
      </c>
      <c r="L12" s="5">
        <v>6.9199999999999998E-2</v>
      </c>
      <c r="M12" s="6">
        <v>-0.2051</v>
      </c>
      <c r="N12" s="5">
        <v>0.26960000000000001</v>
      </c>
      <c r="O12" s="4">
        <v>6.1018255938160154E-3</v>
      </c>
      <c r="P12" s="6">
        <v>-7.8E-2</v>
      </c>
      <c r="Q12" s="5">
        <v>0.15049999999999999</v>
      </c>
      <c r="R12" s="4">
        <v>4.5409610047526881E-2</v>
      </c>
      <c r="S12" s="5">
        <v>0.15740000000000001</v>
      </c>
      <c r="T12" s="5">
        <v>1.06E-2</v>
      </c>
      <c r="U12" s="4">
        <v>3.7907198144210653E-2</v>
      </c>
      <c r="V12" s="5">
        <v>0.54520000000000002</v>
      </c>
      <c r="W12" s="5">
        <v>4.99E-2</v>
      </c>
      <c r="X12" s="4">
        <v>2.7297139910017771E-2</v>
      </c>
      <c r="Y12" s="5">
        <v>0.14349999999999999</v>
      </c>
      <c r="Z12" s="5">
        <v>2.2200000000000001E-2</v>
      </c>
      <c r="AA12" s="4">
        <v>1.5384179959665151E-2</v>
      </c>
      <c r="AB12" s="6">
        <v>-3.6600000000000001E-2</v>
      </c>
      <c r="AC12" s="6">
        <v>-2.1600000000000001E-2</v>
      </c>
      <c r="AD12" s="4">
        <v>2.8374967882395321E-2</v>
      </c>
      <c r="AE12" s="6">
        <v>-2.1100000000000001E-2</v>
      </c>
      <c r="AF12" s="5">
        <v>0.22170000000000001</v>
      </c>
      <c r="AG12" s="4">
        <v>1.7890439588961419E-2</v>
      </c>
      <c r="AH12" s="5">
        <v>0.2049</v>
      </c>
      <c r="AI12" s="5">
        <v>0.1426</v>
      </c>
      <c r="AJ12" s="4">
        <v>1.022339404412529E-2</v>
      </c>
      <c r="AK12" s="5">
        <v>1.55E-2</v>
      </c>
      <c r="AL12" s="5">
        <v>0.18490000000000001</v>
      </c>
      <c r="AM12" s="4">
        <v>1.492254751988994E-2</v>
      </c>
      <c r="AN12" s="6">
        <v>-1.6000000000000001E-3</v>
      </c>
      <c r="AO12" s="5">
        <v>0.34020000000000011</v>
      </c>
      <c r="CJ12" s="13" t="s">
        <v>242</v>
      </c>
      <c r="CK12" s="12">
        <f>IFERROR(AVERAGE(AE$2:AE$23),NA())</f>
        <v>5.4638888888888876E-2</v>
      </c>
      <c r="CL12" s="12">
        <f>IFERROR(AVERAGE(AF$2:AF$23),NA())</f>
        <v>0.11737333333333334</v>
      </c>
      <c r="CM12" s="13"/>
      <c r="CN12" s="13"/>
      <c r="CO12" s="13"/>
      <c r="CP12" s="13"/>
      <c r="CQ12" s="13"/>
      <c r="CR12" s="13" t="s">
        <v>242</v>
      </c>
      <c r="CS12" s="12">
        <f>IFERROR(AVERAGEIFS(AE$2:AE$23,$A$2:$A$23,"&gt;"&amp;$CS$16),NA())</f>
        <v>7.8691666666666646E-2</v>
      </c>
      <c r="CT12" s="12">
        <f>IFERROR(AVERAGEIFS(AF$2:AF$23,$A$2:$A$23,"&gt;"&amp;$CS$16),NA())</f>
        <v>0.14083750000000003</v>
      </c>
      <c r="CU12" s="13"/>
      <c r="CV12" s="13"/>
      <c r="CW12" s="13"/>
      <c r="CX12" s="13"/>
      <c r="CZ12">
        <f>IF(P12="","",P12)</f>
        <v>-7.8E-2</v>
      </c>
      <c r="DA12">
        <f>IF(S12="","",(1+CZ12)*(1+S12)-1)</f>
        <v>6.7122799999999927E-2</v>
      </c>
      <c r="DB12">
        <f>IF(V12="","",(1+DA12)*(1+V12)-1)</f>
        <v>0.64891815055999968</v>
      </c>
      <c r="DC12">
        <f>IF(Y12="","",(1+DB12)*(1+Y12)-1)</f>
        <v>0.88553790516535957</v>
      </c>
      <c r="DD12">
        <f>IF(AB12="","",(1+DC12)*(1+AB12)-1)</f>
        <v>0.81652721783630744</v>
      </c>
      <c r="DE12">
        <f>IF(AE12="","",(1+DD12)*(1+AE12)-1)</f>
        <v>0.77819849353996129</v>
      </c>
      <c r="DF12">
        <f>IF(AH12="","",(1+DE12)*(1+AH12)-1)</f>
        <v>1.1425513648662995</v>
      </c>
      <c r="DG12">
        <f>IF(AK12="","",(1+DF12)*(1+AK12)-1)</f>
        <v>1.1757609110217273</v>
      </c>
      <c r="DH12">
        <f>IF(Q12="","",Q12)</f>
        <v>0.15049999999999999</v>
      </c>
      <c r="DI12">
        <f>IF(T12="","",(1+DH12)*(1+T12)-1)</f>
        <v>0.16269529999999999</v>
      </c>
      <c r="DJ12">
        <f>IF(W12="","",(1+DI12)*(1+W12)-1)</f>
        <v>0.22071379547000003</v>
      </c>
      <c r="DK12">
        <f>IF(Z12="","",(1+DJ12)*(1+Z12)-1)</f>
        <v>0.2478136417294341</v>
      </c>
      <c r="DL12">
        <f>IF(AC12="","",(1+DK12)*(1+AC12)-1)</f>
        <v>0.22086086706807828</v>
      </c>
      <c r="DM12">
        <f>IF(AF12="","",(1+DL12)*(1+AF12)-1)</f>
        <v>0.49152572129707117</v>
      </c>
      <c r="DN12">
        <f>IF(AI12="","",(1+DM12)*(1+AI12)-1)</f>
        <v>0.7042172891540337</v>
      </c>
      <c r="DO12">
        <f>IF(AL12="","",(1+DN12)*(1+AL12)-1)</f>
        <v>1.0193270659186147</v>
      </c>
    </row>
    <row r="13" spans="1:119" x14ac:dyDescent="0.2">
      <c r="A13" s="2">
        <v>45427</v>
      </c>
      <c r="B13" t="s">
        <v>86</v>
      </c>
      <c r="C13" s="4">
        <v>0</v>
      </c>
      <c r="D13" s="4">
        <v>4.1200000000000001E-2</v>
      </c>
      <c r="E13" t="s">
        <v>87</v>
      </c>
      <c r="F13" t="s">
        <v>87</v>
      </c>
      <c r="G13" s="5">
        <v>5.8299999999999998E-2</v>
      </c>
      <c r="H13" s="5">
        <v>0.1946</v>
      </c>
      <c r="I13" s="5">
        <v>0.1321</v>
      </c>
      <c r="J13" s="5">
        <v>6.9199999999999998E-2</v>
      </c>
      <c r="K13" s="5">
        <v>6.1799999999999987E-2</v>
      </c>
      <c r="L13" s="5">
        <v>0.26960000000000001</v>
      </c>
      <c r="M13" s="5">
        <v>0.56340000000000001</v>
      </c>
      <c r="N13" s="5">
        <v>0.15049999999999999</v>
      </c>
      <c r="O13" s="4">
        <v>3.1222833796893359E-2</v>
      </c>
      <c r="P13" s="6">
        <v>-0.2137</v>
      </c>
      <c r="Q13" s="5">
        <v>1.06E-2</v>
      </c>
      <c r="R13" s="4">
        <v>1.020683173145912E-2</v>
      </c>
      <c r="S13" s="6">
        <v>-1.11E-2</v>
      </c>
      <c r="T13" s="5">
        <v>4.99E-2</v>
      </c>
      <c r="U13" s="4">
        <v>4.4336326359926126E-3</v>
      </c>
      <c r="V13" s="5">
        <v>4.6999999999999993E-3</v>
      </c>
      <c r="W13" s="5">
        <v>2.2200000000000001E-2</v>
      </c>
      <c r="X13" s="4">
        <v>2.3471941842505919E-2</v>
      </c>
      <c r="Y13" s="6">
        <v>-3.9600000000000003E-2</v>
      </c>
      <c r="Z13" s="6">
        <v>-2.1600000000000001E-2</v>
      </c>
      <c r="AA13" s="4">
        <v>2.4104406472204298E-3</v>
      </c>
      <c r="AB13" s="5">
        <v>0.31390000000000001</v>
      </c>
      <c r="AC13" s="5">
        <v>0.22170000000000001</v>
      </c>
      <c r="AD13" s="4">
        <v>2.3623488022934729E-2</v>
      </c>
      <c r="AE13" s="5">
        <v>0.97129999999999994</v>
      </c>
      <c r="AF13" s="5">
        <v>0.1426</v>
      </c>
      <c r="AG13" s="4">
        <v>2.5770479406663108E-2</v>
      </c>
      <c r="AH13" s="5">
        <v>0.62029999999999996</v>
      </c>
      <c r="AI13" s="5">
        <v>0.18490000000000001</v>
      </c>
      <c r="AJ13" s="4">
        <v>5.1357884567679292E-2</v>
      </c>
      <c r="AK13" s="5">
        <v>0.70550000000000002</v>
      </c>
      <c r="AL13" s="5">
        <v>0.34020000000000011</v>
      </c>
      <c r="CJ13" s="13" t="s">
        <v>243</v>
      </c>
      <c r="CK13" s="12">
        <f>IFERROR(AVERAGE(AH$2:AH$23),NA())</f>
        <v>0.18142000000000003</v>
      </c>
      <c r="CL13" s="12">
        <f>IFERROR(AVERAGE(AI$2:AI$23),NA())</f>
        <v>0.10957333333333334</v>
      </c>
      <c r="CM13" s="13"/>
      <c r="CN13" s="13"/>
      <c r="CO13" s="13"/>
      <c r="CP13" s="13"/>
      <c r="CQ13" s="13"/>
      <c r="CR13" s="13" t="s">
        <v>243</v>
      </c>
      <c r="CS13" s="12">
        <f>IFERROR(AVERAGEIFS(AH$2:AH$23,$A$2:$A$23,"&gt;"&amp;$CS$16),NA())</f>
        <v>0.32050000000000001</v>
      </c>
      <c r="CT13" s="12">
        <f>IFERROR(AVERAGEIFS(AI$2:AI$23,$A$2:$A$23,"&gt;"&amp;$CS$16),NA())</f>
        <v>0.19741250000000002</v>
      </c>
      <c r="CU13" s="13"/>
      <c r="CV13" s="13"/>
      <c r="CW13" s="13"/>
      <c r="CX13" s="13"/>
      <c r="CZ13">
        <f>IF(P13="","",P13)</f>
        <v>-0.2137</v>
      </c>
      <c r="DA13">
        <f>IF(S13="","",(1+CZ13)*(1+S13)-1)</f>
        <v>-0.22242793000000005</v>
      </c>
      <c r="DB13">
        <f>IF(V13="","",(1+DA13)*(1+V13)-1)</f>
        <v>-0.21877334127100012</v>
      </c>
      <c r="DC13">
        <f>IF(Y13="","",(1+DB13)*(1+Y13)-1)</f>
        <v>-0.24970991695666844</v>
      </c>
      <c r="DD13">
        <f>IF(AB13="","",(1+DC13)*(1+AB13)-1)</f>
        <v>-1.4193859889366611E-2</v>
      </c>
      <c r="DE13">
        <f>IF(AE13="","",(1+DD13)*(1+AE13)-1)</f>
        <v>0.9433196440000915</v>
      </c>
      <c r="DF13">
        <f>IF(AH13="","",(1+DE13)*(1+AH13)-1)</f>
        <v>2.148760819173348</v>
      </c>
      <c r="DG13">
        <f>IF(AK13="","",(1+DF13)*(1+AK13)-1)</f>
        <v>4.3702115771001449</v>
      </c>
      <c r="DH13">
        <f>IF(Q13="","",Q13)</f>
        <v>1.06E-2</v>
      </c>
      <c r="DI13">
        <f>IF(T13="","",(1+DH13)*(1+T13)-1)</f>
        <v>6.102893999999992E-2</v>
      </c>
      <c r="DJ13">
        <f>IF(W13="","",(1+DI13)*(1+W13)-1)</f>
        <v>8.4583782468000024E-2</v>
      </c>
      <c r="DK13">
        <f>IF(Z13="","",(1+DJ13)*(1+Z13)-1)</f>
        <v>6.1156772766691292E-2</v>
      </c>
      <c r="DL13">
        <f>IF(AC13="","",(1+DK13)*(1+AC13)-1)</f>
        <v>0.29641522928906672</v>
      </c>
      <c r="DM13">
        <f>IF(AF13="","",(1+DL13)*(1+AF13)-1)</f>
        <v>0.48128404098568778</v>
      </c>
      <c r="DN13">
        <f>IF(AI13="","",(1+DM13)*(1+AI13)-1)</f>
        <v>0.75517346016394149</v>
      </c>
      <c r="DO13">
        <f>IF(AL13="","",(1+DN13)*(1+AL13)-1)</f>
        <v>1.3522834713117144</v>
      </c>
    </row>
    <row r="14" spans="1:119" x14ac:dyDescent="0.2">
      <c r="A14" s="2">
        <v>45427</v>
      </c>
      <c r="B14" t="s">
        <v>100</v>
      </c>
      <c r="C14" s="4">
        <v>0</v>
      </c>
      <c r="D14" s="4">
        <v>4.4900000000000002E-2</v>
      </c>
      <c r="E14" t="s">
        <v>101</v>
      </c>
      <c r="F14" t="s">
        <v>101</v>
      </c>
      <c r="H14" s="5">
        <v>0.1946</v>
      </c>
      <c r="J14" s="5">
        <v>6.9199999999999998E-2</v>
      </c>
      <c r="L14" s="5">
        <v>0.26960000000000001</v>
      </c>
      <c r="N14" s="5">
        <v>0.15049999999999999</v>
      </c>
      <c r="O14" s="4">
        <v>5.486190847349566E-2</v>
      </c>
      <c r="P14" s="6">
        <v>-0.49809999999999999</v>
      </c>
      <c r="Q14" s="5">
        <v>1.06E-2</v>
      </c>
      <c r="R14" s="4">
        <v>9.5618234344453198E-2</v>
      </c>
      <c r="S14" s="5">
        <v>1.2770999999999999</v>
      </c>
      <c r="T14" s="5">
        <v>4.99E-2</v>
      </c>
      <c r="U14" s="4">
        <v>5.3266797047628441E-2</v>
      </c>
      <c r="V14" s="6">
        <v>-7.1999999999999998E-3</v>
      </c>
      <c r="W14" s="5">
        <v>2.2200000000000001E-2</v>
      </c>
      <c r="X14" s="4">
        <v>8.4272662370772855E-2</v>
      </c>
      <c r="Y14" s="5">
        <v>4.9400000000000013E-2</v>
      </c>
      <c r="Z14" s="6">
        <v>-2.1600000000000001E-2</v>
      </c>
      <c r="AA14" s="4">
        <v>2.3956595450810539E-2</v>
      </c>
      <c r="AB14" s="5">
        <v>1.0684</v>
      </c>
      <c r="AC14" s="5">
        <v>0.22170000000000001</v>
      </c>
      <c r="AD14" s="4">
        <v>2.3661288585827742E-3</v>
      </c>
      <c r="AE14" s="6">
        <v>-0.24310000000000001</v>
      </c>
      <c r="AF14" s="5">
        <v>0.1426</v>
      </c>
      <c r="AG14" s="4">
        <v>3.2753294382213992E-2</v>
      </c>
      <c r="AH14" s="6">
        <v>-0.1431</v>
      </c>
      <c r="AI14" s="5">
        <v>0.18490000000000001</v>
      </c>
      <c r="AJ14" s="4">
        <v>7.3745628822782822E-2</v>
      </c>
      <c r="AK14" s="5">
        <v>0.74290000000000012</v>
      </c>
      <c r="AL14" s="5">
        <v>0.34020000000000011</v>
      </c>
      <c r="CJ14" s="13" t="s">
        <v>244</v>
      </c>
      <c r="CK14" s="12">
        <f>IFERROR(AVERAGE(AK$2:AK$23),NA())</f>
        <v>0.17842820512820515</v>
      </c>
      <c r="CL14" s="12">
        <f>IFERROR(AVERAGE(AL$2:AL$23),NA())</f>
        <v>0.1455846153846154</v>
      </c>
      <c r="CM14" s="13"/>
      <c r="CN14" s="13"/>
      <c r="CO14" s="13"/>
      <c r="CP14" s="13"/>
      <c r="CQ14" s="13"/>
      <c r="CR14" s="13" t="s">
        <v>244</v>
      </c>
      <c r="CS14" s="12">
        <f>IFERROR(AVERAGEIFS(AK$2:AK$23,$A$2:$A$23,"&gt;"&amp;$CS$16),NA())</f>
        <v>0.31673611111111116</v>
      </c>
      <c r="CT14" s="12">
        <f>IFERROR(AVERAGEIFS(AL$2:AL$23,$A$2:$A$23,"&gt;"&amp;$CS$16),NA())</f>
        <v>0.19520000000000004</v>
      </c>
      <c r="CU14" s="13"/>
      <c r="CV14" s="13"/>
      <c r="CW14" s="13"/>
      <c r="CX14" s="13"/>
      <c r="CZ14">
        <f>IF(P14="","",P14)</f>
        <v>-0.49809999999999999</v>
      </c>
      <c r="DA14">
        <f>IF(S14="","",(1+CZ14)*(1+S14)-1)</f>
        <v>0.14287648999999991</v>
      </c>
      <c r="DB14">
        <f>IF(V14="","",(1+DA14)*(1+V14)-1)</f>
        <v>0.134647779272</v>
      </c>
      <c r="DC14">
        <f>IF(Y14="","",(1+DB14)*(1+Y14)-1)</f>
        <v>0.19069937956803695</v>
      </c>
      <c r="DD14">
        <f>IF(AB14="","",(1+DC14)*(1+AB14)-1)</f>
        <v>1.4628425966985277</v>
      </c>
      <c r="DE14">
        <f>IF(AE14="","",(1+DD14)*(1+AE14)-1)</f>
        <v>0.86412556144111563</v>
      </c>
      <c r="DF14">
        <f>IF(AH14="","",(1+DE14)*(1+AH14)-1)</f>
        <v>0.59736919359889207</v>
      </c>
      <c r="DG14">
        <f>IF(AK14="","",(1+DF14)*(1+AK14)-1)</f>
        <v>1.784054767523509</v>
      </c>
      <c r="DH14">
        <f>IF(Q14="","",Q14)</f>
        <v>1.06E-2</v>
      </c>
      <c r="DI14">
        <f>IF(T14="","",(1+DH14)*(1+T14)-1)</f>
        <v>6.102893999999992E-2</v>
      </c>
      <c r="DJ14">
        <f>IF(W14="","",(1+DI14)*(1+W14)-1)</f>
        <v>8.4583782468000024E-2</v>
      </c>
      <c r="DK14">
        <f>IF(Z14="","",(1+DJ14)*(1+Z14)-1)</f>
        <v>6.1156772766691292E-2</v>
      </c>
      <c r="DL14">
        <f>IF(AC14="","",(1+DK14)*(1+AC14)-1)</f>
        <v>0.29641522928906672</v>
      </c>
      <c r="DM14">
        <f>IF(AF14="","",(1+DL14)*(1+AF14)-1)</f>
        <v>0.48128404098568778</v>
      </c>
      <c r="DN14">
        <f>IF(AI14="","",(1+DM14)*(1+AI14)-1)</f>
        <v>0.75517346016394149</v>
      </c>
      <c r="DO14">
        <f>IF(AL14="","",(1+DN14)*(1+AL14)-1)</f>
        <v>1.3522834713117144</v>
      </c>
    </row>
    <row r="15" spans="1:119" x14ac:dyDescent="0.2">
      <c r="A15" s="2">
        <v>45518</v>
      </c>
      <c r="B15" t="s">
        <v>96</v>
      </c>
      <c r="C15" s="4">
        <v>0</v>
      </c>
      <c r="D15" s="4">
        <v>4.1300000000000003E-2</v>
      </c>
      <c r="E15" t="s">
        <v>97</v>
      </c>
      <c r="F15" t="s">
        <v>97</v>
      </c>
      <c r="G15" s="6">
        <v>-6.0400000000000002E-2</v>
      </c>
      <c r="H15" s="5">
        <v>6.9199999999999998E-2</v>
      </c>
      <c r="I15" s="6">
        <v>-6.5199999999999994E-2</v>
      </c>
      <c r="J15" s="5">
        <v>0.26960000000000001</v>
      </c>
      <c r="K15" s="5">
        <v>0.1885</v>
      </c>
      <c r="L15" s="5">
        <v>0.15049999999999999</v>
      </c>
      <c r="M15" s="6">
        <v>-4.5999999999999999E-3</v>
      </c>
      <c r="N15" s="5">
        <v>1.06E-2</v>
      </c>
      <c r="O15" s="4">
        <v>2.1106098336254918E-3</v>
      </c>
      <c r="P15" s="5">
        <v>0.20880000000000001</v>
      </c>
      <c r="Q15" s="5">
        <v>4.99E-2</v>
      </c>
      <c r="R15" s="4">
        <v>6.7805410547985634E-3</v>
      </c>
      <c r="S15" s="5">
        <v>2.3699999999999999E-2</v>
      </c>
      <c r="T15" s="5">
        <v>2.2200000000000001E-2</v>
      </c>
      <c r="V15" s="6">
        <v>-0.18179999999999999</v>
      </c>
      <c r="W15" s="6">
        <v>-2.1600000000000001E-2</v>
      </c>
      <c r="Y15" s="5">
        <v>0.21879999999999999</v>
      </c>
      <c r="Z15" s="5">
        <v>0.22170000000000001</v>
      </c>
      <c r="AB15" s="5">
        <v>7.6499999999999999E-2</v>
      </c>
      <c r="AC15" s="5">
        <v>0.1426</v>
      </c>
      <c r="AE15" s="6">
        <v>-3.1899999999999998E-2</v>
      </c>
      <c r="AF15" s="5">
        <v>0.18490000000000001</v>
      </c>
      <c r="AH15" s="5">
        <v>0.51170000000000004</v>
      </c>
      <c r="AI15" s="5">
        <v>0.34020000000000011</v>
      </c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Z15">
        <f>IF(P15="","",P15)</f>
        <v>0.20880000000000001</v>
      </c>
      <c r="DA15">
        <f>IF(S15="","",(1+CZ15)*(1+S15)-1)</f>
        <v>0.23744856000000025</v>
      </c>
      <c r="DB15">
        <f>IF(V15="","",(1+DA15)*(1+V15)-1)</f>
        <v>1.2480411792000323E-2</v>
      </c>
      <c r="DC15">
        <f>IF(Y15="","",(1+DB15)*(1+Y15)-1)</f>
        <v>0.23401112589208983</v>
      </c>
      <c r="DD15">
        <f>IF(AB15="","",(1+DC15)*(1+AB15)-1)</f>
        <v>0.32841297702283478</v>
      </c>
      <c r="DE15">
        <f>IF(AE15="","",(1+DD15)*(1+AE15)-1)</f>
        <v>0.28603660305580636</v>
      </c>
      <c r="DF15">
        <f>IF(AH15="","",(1+DE15)*(1+AH15)-1)</f>
        <v>0.94410153283946263</v>
      </c>
      <c r="DG15" t="str">
        <f>IF(AK15="","",(1+DF15)*(1+AK15)-1)</f>
        <v/>
      </c>
      <c r="DH15">
        <f>IF(Q15="","",Q15)</f>
        <v>4.99E-2</v>
      </c>
      <c r="DI15">
        <f>IF(T15="","",(1+DH15)*(1+T15)-1)</f>
        <v>7.3207779999999945E-2</v>
      </c>
      <c r="DJ15">
        <f>IF(W15="","",(1+DI15)*(1+W15)-1)</f>
        <v>5.002649195199993E-2</v>
      </c>
      <c r="DK15">
        <f>IF(Z15="","",(1+DJ15)*(1+Z15)-1)</f>
        <v>0.28281736521775835</v>
      </c>
      <c r="DL15">
        <f>IF(AC15="","",(1+DK15)*(1+AC15)-1)</f>
        <v>0.46574712149781083</v>
      </c>
      <c r="DM15">
        <f>IF(AF15="","",(1+DL15)*(1+AF15)-1)</f>
        <v>0.73676376426275625</v>
      </c>
      <c r="DN15">
        <f>IF(AI15="","",(1+DM15)*(1+AI15)-1)</f>
        <v>1.327610796864946</v>
      </c>
      <c r="DO15" t="str">
        <f>IF(AL15="","",(1+DN15)*(1+AL15)-1)</f>
        <v/>
      </c>
    </row>
    <row r="16" spans="1:119" x14ac:dyDescent="0.2">
      <c r="A16" s="2">
        <v>45518</v>
      </c>
      <c r="B16" t="s">
        <v>88</v>
      </c>
      <c r="C16" s="4">
        <v>6.1000000000000004E-3</v>
      </c>
      <c r="D16" s="4">
        <v>4.5400000000000003E-2</v>
      </c>
      <c r="E16" t="s">
        <v>89</v>
      </c>
      <c r="F16" t="s">
        <v>89</v>
      </c>
      <c r="G16" s="6">
        <v>-9.7999999999999997E-3</v>
      </c>
      <c r="H16" s="5">
        <v>6.9199999999999998E-2</v>
      </c>
      <c r="I16" s="6">
        <v>-0.2051</v>
      </c>
      <c r="J16" s="5">
        <v>0.26960000000000001</v>
      </c>
      <c r="K16" s="6">
        <v>-7.8E-2</v>
      </c>
      <c r="L16" s="5">
        <v>0.15049999999999999</v>
      </c>
      <c r="M16" s="5">
        <v>0.15740000000000001</v>
      </c>
      <c r="N16" s="5">
        <v>1.06E-2</v>
      </c>
      <c r="O16" s="4">
        <v>3.7907198144210653E-2</v>
      </c>
      <c r="P16" s="5">
        <v>0.54520000000000002</v>
      </c>
      <c r="Q16" s="5">
        <v>4.99E-2</v>
      </c>
      <c r="R16" s="4">
        <v>2.7297139910017771E-2</v>
      </c>
      <c r="S16" s="5">
        <v>0.14349999999999999</v>
      </c>
      <c r="T16" s="5">
        <v>2.2200000000000001E-2</v>
      </c>
      <c r="U16" s="4">
        <v>1.5384179959665151E-2</v>
      </c>
      <c r="V16" s="6">
        <v>-3.6600000000000001E-2</v>
      </c>
      <c r="W16" s="6">
        <v>-2.1600000000000001E-2</v>
      </c>
      <c r="X16" s="4">
        <v>2.8374967882395321E-2</v>
      </c>
      <c r="Y16" s="6">
        <v>-2.1100000000000001E-2</v>
      </c>
      <c r="Z16" s="5">
        <v>0.22170000000000001</v>
      </c>
      <c r="AA16" s="4">
        <v>1.7890439588961419E-2</v>
      </c>
      <c r="AB16" s="5">
        <v>0.2049</v>
      </c>
      <c r="AC16" s="5">
        <v>0.1426</v>
      </c>
      <c r="AD16" s="4">
        <v>1.022339404412529E-2</v>
      </c>
      <c r="AE16" s="5">
        <v>1.55E-2</v>
      </c>
      <c r="AF16" s="5">
        <v>0.18490000000000001</v>
      </c>
      <c r="AG16" s="4">
        <v>1.492254751988994E-2</v>
      </c>
      <c r="AH16" s="6">
        <v>-1.6000000000000001E-3</v>
      </c>
      <c r="AI16" s="5">
        <v>0.34020000000000011</v>
      </c>
      <c r="CJ16" s="13"/>
      <c r="CK16" s="13"/>
      <c r="CL16" s="13"/>
      <c r="CM16" s="13"/>
      <c r="CN16" s="13"/>
      <c r="CO16" s="13"/>
      <c r="CP16" s="13"/>
      <c r="CQ16" s="13"/>
      <c r="CR16" s="11" t="s">
        <v>265</v>
      </c>
      <c r="CS16" s="14">
        <v>44927</v>
      </c>
      <c r="CT16" s="13"/>
      <c r="CU16" s="13"/>
      <c r="CV16" s="13"/>
      <c r="CW16" s="13"/>
      <c r="CX16" s="13"/>
      <c r="CZ16">
        <f>IF(P16="","",P16)</f>
        <v>0.54520000000000002</v>
      </c>
      <c r="DA16">
        <f>IF(S16="","",(1+CZ16)*(1+S16)-1)</f>
        <v>0.76693619999999973</v>
      </c>
      <c r="DB16">
        <f>IF(V16="","",(1+DA16)*(1+V16)-1)</f>
        <v>0.7022663350799998</v>
      </c>
      <c r="DC16">
        <f>IF(Y16="","",(1+DB16)*(1+Y16)-1)</f>
        <v>0.66634851540981188</v>
      </c>
      <c r="DD16">
        <f>IF(AB16="","",(1+DC16)*(1+AB16)-1)</f>
        <v>1.0077833262172824</v>
      </c>
      <c r="DE16">
        <f>IF(AE16="","",(1+DD16)*(1+AE16)-1)</f>
        <v>1.0389039677736505</v>
      </c>
      <c r="DF16">
        <f>IF(AH16="","",(1+DE16)*(1+AH16)-1)</f>
        <v>1.0356417214252125</v>
      </c>
      <c r="DG16" t="str">
        <f>IF(AK16="","",(1+DF16)*(1+AK16)-1)</f>
        <v/>
      </c>
      <c r="DH16">
        <f>IF(Q16="","",Q16)</f>
        <v>4.99E-2</v>
      </c>
      <c r="DI16">
        <f>IF(T16="","",(1+DH16)*(1+T16)-1)</f>
        <v>7.3207779999999945E-2</v>
      </c>
      <c r="DJ16">
        <f>IF(W16="","",(1+DI16)*(1+W16)-1)</f>
        <v>5.002649195199993E-2</v>
      </c>
      <c r="DK16">
        <f>IF(Z16="","",(1+DJ16)*(1+Z16)-1)</f>
        <v>0.28281736521775835</v>
      </c>
      <c r="DL16">
        <f>IF(AC16="","",(1+DK16)*(1+AC16)-1)</f>
        <v>0.46574712149781083</v>
      </c>
      <c r="DM16">
        <f>IF(AF16="","",(1+DL16)*(1+AF16)-1)</f>
        <v>0.73676376426275625</v>
      </c>
      <c r="DN16">
        <f>IF(AI16="","",(1+DM16)*(1+AI16)-1)</f>
        <v>1.327610796864946</v>
      </c>
      <c r="DO16" t="str">
        <f>IF(AL16="","",(1+DN16)*(1+AL16)-1)</f>
        <v/>
      </c>
    </row>
    <row r="17" spans="1:119" x14ac:dyDescent="0.2">
      <c r="A17" s="2">
        <v>45702</v>
      </c>
      <c r="B17" t="s">
        <v>102</v>
      </c>
      <c r="C17" s="4">
        <v>0</v>
      </c>
      <c r="D17" s="4">
        <v>4.3499999999999997E-2</v>
      </c>
      <c r="E17" t="s">
        <v>160</v>
      </c>
      <c r="F17" t="s">
        <v>160</v>
      </c>
      <c r="G17" s="6">
        <v>-0.26479999999999998</v>
      </c>
      <c r="H17" s="5">
        <v>0.15049999999999999</v>
      </c>
      <c r="I17" s="6">
        <v>-0.28944999999999999</v>
      </c>
      <c r="J17" s="5">
        <v>1.06E-2</v>
      </c>
      <c r="K17" s="5">
        <v>0.10664999999999999</v>
      </c>
      <c r="L17" s="5">
        <v>4.99E-2</v>
      </c>
      <c r="M17" s="5">
        <v>0.22225</v>
      </c>
      <c r="N17" s="5">
        <v>2.2200000000000001E-2</v>
      </c>
      <c r="O17" s="4">
        <v>3.6854782705140712E-2</v>
      </c>
      <c r="P17" s="6">
        <v>-0.1835</v>
      </c>
      <c r="Q17" s="6">
        <v>-2.1600000000000001E-2</v>
      </c>
      <c r="R17" s="4">
        <v>3.2647712349549968E-2</v>
      </c>
      <c r="S17" s="5">
        <v>6.9000000000000006E-2</v>
      </c>
      <c r="T17" s="5">
        <v>0.22170000000000001</v>
      </c>
      <c r="U17" s="4">
        <v>2.0625475610788691E-2</v>
      </c>
      <c r="V17" s="5">
        <v>0.52205000000000001</v>
      </c>
      <c r="W17" s="5">
        <v>0.1426</v>
      </c>
      <c r="X17" s="4">
        <v>1.283299697477917E-2</v>
      </c>
      <c r="Y17" s="6">
        <v>-0.15295</v>
      </c>
      <c r="Z17" s="5">
        <v>0.18490000000000001</v>
      </c>
      <c r="AA17" s="4">
        <v>4.3663705304359387E-3</v>
      </c>
      <c r="AB17" s="6">
        <v>-7.0649999999999991E-2</v>
      </c>
      <c r="AC17" s="5">
        <v>0.34020000000000011</v>
      </c>
      <c r="CZ17">
        <f>IF(P17="","",P17)</f>
        <v>-0.1835</v>
      </c>
      <c r="DA17">
        <f>IF(S17="","",(1+CZ17)*(1+S17)-1)</f>
        <v>-0.12716150000000004</v>
      </c>
      <c r="DB17">
        <f>IF(V17="","",(1+DA17)*(1+V17)-1)</f>
        <v>0.32850383892500012</v>
      </c>
      <c r="DC17">
        <f>IF(Y17="","",(1+DB17)*(1+Y17)-1)</f>
        <v>0.12530917676142139</v>
      </c>
      <c r="DD17">
        <f>IF(AB17="","",(1+DC17)*(1+AB17)-1)</f>
        <v>4.5806083423227006E-2</v>
      </c>
      <c r="DE17" t="str">
        <f>IF(AE17="","",(1+DD17)*(1+AE17)-1)</f>
        <v/>
      </c>
      <c r="DF17" t="str">
        <f>IF(AH17="","",(1+DE17)*(1+AH17)-1)</f>
        <v/>
      </c>
      <c r="DG17" t="str">
        <f>IF(AK17="","",(1+DF17)*(1+AK17)-1)</f>
        <v/>
      </c>
      <c r="DH17">
        <f>IF(Q17="","",Q17)</f>
        <v>-2.1600000000000001E-2</v>
      </c>
      <c r="DI17">
        <f>IF(T17="","",(1+DH17)*(1+T17)-1)</f>
        <v>0.19531128000000009</v>
      </c>
      <c r="DJ17">
        <f>IF(W17="","",(1+DI17)*(1+W17)-1)</f>
        <v>0.36576266852800021</v>
      </c>
      <c r="DK17">
        <f>IF(Z17="","",(1+DJ17)*(1+Z17)-1)</f>
        <v>0.61829218593882751</v>
      </c>
      <c r="DL17">
        <f>IF(AC17="","",(1+DK17)*(1+AC17)-1)</f>
        <v>1.1688351875952168</v>
      </c>
      <c r="DM17" t="str">
        <f>IF(AF17="","",(1+DL17)*(1+AF17)-1)</f>
        <v/>
      </c>
      <c r="DN17" t="str">
        <f>IF(AI17="","",(1+DM17)*(1+AI17)-1)</f>
        <v/>
      </c>
      <c r="DO17" t="str">
        <f>IF(AL17="","",(1+DN17)*(1+AL17)-1)</f>
        <v/>
      </c>
    </row>
    <row r="18" spans="1:119" x14ac:dyDescent="0.2">
      <c r="A18" s="2">
        <v>45792</v>
      </c>
      <c r="B18" t="s">
        <v>106</v>
      </c>
      <c r="C18" s="4">
        <v>1.8800000000000001E-2</v>
      </c>
      <c r="D18" s="4">
        <v>5.6099999999999997E-2</v>
      </c>
      <c r="E18" t="s">
        <v>107</v>
      </c>
      <c r="F18" t="s">
        <v>107</v>
      </c>
      <c r="G18" s="6">
        <v>-0.29310000000000003</v>
      </c>
      <c r="H18" s="5">
        <v>1.06E-2</v>
      </c>
      <c r="I18" s="5">
        <v>0.19089999999999999</v>
      </c>
      <c r="J18" s="5">
        <v>4.99E-2</v>
      </c>
      <c r="K18" s="5">
        <v>0.14169999999999999</v>
      </c>
      <c r="L18" s="5">
        <v>2.2200000000000001E-2</v>
      </c>
      <c r="M18" s="6">
        <v>-1.35E-2</v>
      </c>
      <c r="N18" s="6">
        <v>-2.1600000000000001E-2</v>
      </c>
      <c r="O18" s="4">
        <v>4.1441716803459018E-2</v>
      </c>
      <c r="P18" s="5">
        <v>0.81059999999999999</v>
      </c>
      <c r="Q18" s="5">
        <v>0.22170000000000001</v>
      </c>
      <c r="R18" s="4">
        <v>4.7657314939709067E-2</v>
      </c>
      <c r="S18" s="6">
        <v>-4.4200000000000003E-2</v>
      </c>
      <c r="T18" s="5">
        <v>0.1426</v>
      </c>
      <c r="U18" s="4">
        <v>3.5760229748957047E-2</v>
      </c>
      <c r="V18" s="6">
        <v>-0.5</v>
      </c>
      <c r="W18" s="5">
        <v>0.18490000000000001</v>
      </c>
      <c r="X18" s="4">
        <v>5.4322909997806958E-2</v>
      </c>
      <c r="Y18" s="5">
        <v>0.4597</v>
      </c>
      <c r="Z18" s="5">
        <v>0.34020000000000011</v>
      </c>
      <c r="CZ18">
        <f>IF(P18="","",P18)</f>
        <v>0.81059999999999999</v>
      </c>
      <c r="DA18">
        <f>IF(S18="","",(1+CZ18)*(1+S18)-1)</f>
        <v>0.73057148000000005</v>
      </c>
      <c r="DB18">
        <f>IF(V18="","",(1+DA18)*(1+V18)-1)</f>
        <v>-0.13471425999999997</v>
      </c>
      <c r="DC18">
        <f>IF(Y18="","",(1+DB18)*(1+Y18)-1)</f>
        <v>0.26305759467800005</v>
      </c>
      <c r="DD18" t="str">
        <f>IF(AB18="","",(1+DC18)*(1+AB18)-1)</f>
        <v/>
      </c>
      <c r="DE18" t="str">
        <f>IF(AE18="","",(1+DD18)*(1+AE18)-1)</f>
        <v/>
      </c>
      <c r="DF18" t="str">
        <f>IF(AH18="","",(1+DE18)*(1+AH18)-1)</f>
        <v/>
      </c>
      <c r="DG18" t="str">
        <f>IF(AK18="","",(1+DF18)*(1+AK18)-1)</f>
        <v/>
      </c>
      <c r="DH18">
        <f>IF(Q18="","",Q18)</f>
        <v>0.22170000000000001</v>
      </c>
      <c r="DI18">
        <f>IF(T18="","",(1+DH18)*(1+T18)-1)</f>
        <v>0.39591441999999999</v>
      </c>
      <c r="DJ18">
        <f>IF(W18="","",(1+DI18)*(1+W18)-1)</f>
        <v>0.65401899625800008</v>
      </c>
      <c r="DK18">
        <f>IF(Z18="","",(1+DJ18)*(1+Z18)-1)</f>
        <v>1.216716258784972</v>
      </c>
      <c r="DL18" t="str">
        <f>IF(AC18="","",(1+DK18)*(1+AC18)-1)</f>
        <v/>
      </c>
      <c r="DM18" t="str">
        <f>IF(AF18="","",(1+DL18)*(1+AF18)-1)</f>
        <v/>
      </c>
      <c r="DN18" t="str">
        <f>IF(AI18="","",(1+DM18)*(1+AI18)-1)</f>
        <v/>
      </c>
      <c r="DO18" t="str">
        <f>IF(AL18="","",(1+DN18)*(1+AL18)-1)</f>
        <v/>
      </c>
    </row>
    <row r="19" spans="1:119" x14ac:dyDescent="0.2">
      <c r="A19" s="2">
        <v>45883</v>
      </c>
      <c r="B19" t="s">
        <v>98</v>
      </c>
      <c r="C19" s="4">
        <v>3.5499999999999997E-2</v>
      </c>
      <c r="D19" s="4">
        <v>7.4900000000000008E-2</v>
      </c>
      <c r="E19" t="s">
        <v>145</v>
      </c>
      <c r="F19" t="s">
        <v>161</v>
      </c>
      <c r="G19" s="5">
        <v>0.63200000000000001</v>
      </c>
      <c r="H19" s="5">
        <v>4.99E-2</v>
      </c>
      <c r="I19" s="5">
        <v>0.1</v>
      </c>
      <c r="J19" s="5">
        <v>2.2200000000000001E-2</v>
      </c>
      <c r="K19" s="6">
        <v>-5.5200000000000013E-2</v>
      </c>
      <c r="L19" s="6">
        <v>-2.1600000000000001E-2</v>
      </c>
      <c r="M19" s="5">
        <v>0.30980000000000002</v>
      </c>
      <c r="N19" s="5">
        <v>0.22170000000000001</v>
      </c>
      <c r="O19" s="4">
        <v>7.9727047634197579E-2</v>
      </c>
      <c r="P19" s="5">
        <v>1.0611999999999999</v>
      </c>
      <c r="Q19" s="5">
        <v>0.1426</v>
      </c>
      <c r="R19" s="4">
        <v>8.591718363738611E-2</v>
      </c>
      <c r="S19" s="5">
        <v>1.08165</v>
      </c>
      <c r="T19" s="5">
        <v>0.18490000000000001</v>
      </c>
      <c r="U19" s="4">
        <v>0.1201502682787316</v>
      </c>
      <c r="V19" s="5">
        <v>0.60445000000000004</v>
      </c>
      <c r="W19" s="5">
        <v>0.34020000000000011</v>
      </c>
      <c r="CZ19">
        <f>IF(P19="","",P19)</f>
        <v>1.0611999999999999</v>
      </c>
      <c r="DA19">
        <f>IF(S19="","",(1+CZ19)*(1+S19)-1)</f>
        <v>3.290696979999999</v>
      </c>
      <c r="DB19">
        <f>IF(V19="","",(1+DA19)*(1+V19)-1)</f>
        <v>5.8842087695609981</v>
      </c>
      <c r="DC19" t="str">
        <f>IF(Y19="","",(1+DB19)*(1+Y19)-1)</f>
        <v/>
      </c>
      <c r="DD19" t="str">
        <f>IF(AB19="","",(1+DC19)*(1+AB19)-1)</f>
        <v/>
      </c>
      <c r="DE19" t="str">
        <f>IF(AE19="","",(1+DD19)*(1+AE19)-1)</f>
        <v/>
      </c>
      <c r="DF19" t="str">
        <f>IF(AH19="","",(1+DE19)*(1+AH19)-1)</f>
        <v/>
      </c>
      <c r="DG19" t="str">
        <f>IF(AK19="","",(1+DF19)*(1+AK19)-1)</f>
        <v/>
      </c>
      <c r="DH19">
        <f>IF(Q19="","",Q19)</f>
        <v>0.1426</v>
      </c>
      <c r="DI19">
        <f>IF(T19="","",(1+DH19)*(1+T19)-1)</f>
        <v>0.35386674000000018</v>
      </c>
      <c r="DJ19">
        <f>IF(W19="","",(1+DI19)*(1+W19)-1)</f>
        <v>0.8144522049480003</v>
      </c>
      <c r="DK19" t="str">
        <f>IF(Z19="","",(1+DJ19)*(1+Z19)-1)</f>
        <v/>
      </c>
      <c r="DL19" t="str">
        <f>IF(AC19="","",(1+DK19)*(1+AC19)-1)</f>
        <v/>
      </c>
      <c r="DM19" t="str">
        <f>IF(AF19="","",(1+DL19)*(1+AF19)-1)</f>
        <v/>
      </c>
      <c r="DN19" t="str">
        <f>IF(AI19="","",(1+DM19)*(1+AI19)-1)</f>
        <v/>
      </c>
      <c r="DO19" t="str">
        <f>IF(AL19="","",(1+DN19)*(1+AL19)-1)</f>
        <v/>
      </c>
    </row>
    <row r="20" spans="1:119" x14ac:dyDescent="0.2">
      <c r="A20" s="2">
        <v>45883</v>
      </c>
      <c r="B20" t="s">
        <v>94</v>
      </c>
      <c r="C20" s="4">
        <v>0</v>
      </c>
      <c r="D20" s="4">
        <v>5.6800000000000003E-2</v>
      </c>
      <c r="E20" t="s">
        <v>95</v>
      </c>
      <c r="F20" t="s">
        <v>95</v>
      </c>
      <c r="G20" s="6">
        <v>-0.1736</v>
      </c>
      <c r="H20" s="5">
        <v>4.99E-2</v>
      </c>
      <c r="I20" s="5">
        <v>0.36059999999999998</v>
      </c>
      <c r="J20" s="5">
        <v>2.2200000000000001E-2</v>
      </c>
      <c r="K20" s="6">
        <v>-0.1817</v>
      </c>
      <c r="L20" s="6">
        <v>-2.1600000000000001E-2</v>
      </c>
      <c r="M20" s="5">
        <v>4.2699999999999988E-2</v>
      </c>
      <c r="N20" s="5">
        <v>0.22170000000000001</v>
      </c>
      <c r="O20" s="4">
        <v>6.6894676836821945E-2</v>
      </c>
      <c r="P20" s="5">
        <v>0.4622</v>
      </c>
      <c r="Q20" s="5">
        <v>0.1426</v>
      </c>
      <c r="R20" s="4">
        <v>3.4208380191871682E-2</v>
      </c>
      <c r="S20" s="6">
        <v>-0.14069999999999999</v>
      </c>
      <c r="T20" s="5">
        <v>0.18490000000000001</v>
      </c>
      <c r="V20" s="5">
        <v>6.0299999999999999E-2</v>
      </c>
      <c r="W20" s="5">
        <v>0.34020000000000011</v>
      </c>
      <c r="CZ20">
        <f>IF(P20="","",P20)</f>
        <v>0.4622</v>
      </c>
      <c r="DA20">
        <f>IF(S20="","",(1+CZ20)*(1+S20)-1)</f>
        <v>0.25646845999999979</v>
      </c>
      <c r="DB20">
        <f>IF(V20="","",(1+DA20)*(1+V20)-1)</f>
        <v>0.3322335081379999</v>
      </c>
      <c r="DC20" t="str">
        <f>IF(Y20="","",(1+DB20)*(1+Y20)-1)</f>
        <v/>
      </c>
      <c r="DD20" t="str">
        <f>IF(AB20="","",(1+DC20)*(1+AB20)-1)</f>
        <v/>
      </c>
      <c r="DE20" t="str">
        <f>IF(AE20="","",(1+DD20)*(1+AE20)-1)</f>
        <v/>
      </c>
      <c r="DF20" t="str">
        <f>IF(AH20="","",(1+DE20)*(1+AH20)-1)</f>
        <v/>
      </c>
      <c r="DG20" t="str">
        <f>IF(AK20="","",(1+DF20)*(1+AK20)-1)</f>
        <v/>
      </c>
      <c r="DH20">
        <f>IF(Q20="","",Q20)</f>
        <v>0.1426</v>
      </c>
      <c r="DI20">
        <f>IF(T20="","",(1+DH20)*(1+T20)-1)</f>
        <v>0.35386674000000018</v>
      </c>
      <c r="DJ20">
        <f>IF(W20="","",(1+DI20)*(1+W20)-1)</f>
        <v>0.8144522049480003</v>
      </c>
      <c r="DK20" t="str">
        <f>IF(Z20="","",(1+DJ20)*(1+Z20)-1)</f>
        <v/>
      </c>
      <c r="DL20" t="str">
        <f>IF(AC20="","",(1+DK20)*(1+AC20)-1)</f>
        <v/>
      </c>
      <c r="DM20" t="str">
        <f>IF(AF20="","",(1+DL20)*(1+AF20)-1)</f>
        <v/>
      </c>
      <c r="DN20" t="str">
        <f>IF(AI20="","",(1+DM20)*(1+AI20)-1)</f>
        <v/>
      </c>
      <c r="DO20" t="str">
        <f>IF(AL20="","",(1+DN20)*(1+AL20)-1)</f>
        <v/>
      </c>
    </row>
    <row r="21" spans="1:119" x14ac:dyDescent="0.2">
      <c r="A21" s="2">
        <v>46070</v>
      </c>
      <c r="B21" t="s">
        <v>82</v>
      </c>
      <c r="C21" s="4">
        <v>3.1600000000000003E-2</v>
      </c>
      <c r="D21" s="4">
        <v>4.3899999999999988E-2</v>
      </c>
      <c r="E21" t="s">
        <v>83</v>
      </c>
      <c r="F21" t="s">
        <v>83</v>
      </c>
      <c r="G21" s="6">
        <v>-2.8899999999999999E-2</v>
      </c>
      <c r="H21" s="6">
        <v>-2.1600000000000001E-2</v>
      </c>
      <c r="I21" s="5">
        <v>0.35010000000000002</v>
      </c>
      <c r="J21" s="5">
        <v>0.22170000000000001</v>
      </c>
      <c r="K21" s="5">
        <v>4.4800000000000013E-2</v>
      </c>
      <c r="L21" s="5">
        <v>0.1426</v>
      </c>
      <c r="M21" s="6">
        <v>-2.7300000000000001E-2</v>
      </c>
      <c r="N21" s="5">
        <v>0.18490000000000001</v>
      </c>
      <c r="O21" s="4">
        <v>4.3531750318210702E-2</v>
      </c>
      <c r="P21" s="5">
        <v>0.20200000000000001</v>
      </c>
      <c r="Q21" s="5">
        <v>0.34020000000000011</v>
      </c>
      <c r="CZ21">
        <f>IF(P21="","",P21)</f>
        <v>0.20200000000000001</v>
      </c>
      <c r="DA21" t="str">
        <f>IF(S21="","",(1+CZ21)*(1+S21)-1)</f>
        <v/>
      </c>
      <c r="DB21" t="str">
        <f>IF(V21="","",(1+DA21)*(1+V21)-1)</f>
        <v/>
      </c>
      <c r="DC21" t="str">
        <f>IF(Y21="","",(1+DB21)*(1+Y21)-1)</f>
        <v/>
      </c>
      <c r="DD21" t="str">
        <f>IF(AB21="","",(1+DC21)*(1+AB21)-1)</f>
        <v/>
      </c>
      <c r="DE21" t="str">
        <f>IF(AE21="","",(1+DD21)*(1+AE21)-1)</f>
        <v/>
      </c>
      <c r="DF21" t="str">
        <f>IF(AH21="","",(1+DE21)*(1+AH21)-1)</f>
        <v/>
      </c>
      <c r="DG21" t="str">
        <f>IF(AK21="","",(1+DF21)*(1+AK21)-1)</f>
        <v/>
      </c>
      <c r="DH21">
        <f>IF(Q21="","",Q21)</f>
        <v>0.34020000000000011</v>
      </c>
      <c r="DI21" t="str">
        <f>IF(T21="","",(1+DH21)*(1+T21)-1)</f>
        <v/>
      </c>
      <c r="DJ21" t="str">
        <f>IF(W21="","",(1+DI21)*(1+W21)-1)</f>
        <v/>
      </c>
      <c r="DK21" t="str">
        <f>IF(Z21="","",(1+DJ21)*(1+Z21)-1)</f>
        <v/>
      </c>
      <c r="DL21" t="str">
        <f>IF(AC21="","",(1+DK21)*(1+AC21)-1)</f>
        <v/>
      </c>
      <c r="DM21" t="str">
        <f>IF(AF21="","",(1+DL21)*(1+AF21)-1)</f>
        <v/>
      </c>
      <c r="DN21" t="str">
        <f>IF(AI21="","",(1+DM21)*(1+AI21)-1)</f>
        <v/>
      </c>
      <c r="DO21" t="str">
        <f>IF(AL21="","",(1+DN21)*(1+AL21)-1)</f>
        <v/>
      </c>
    </row>
    <row r="22" spans="1:119" x14ac:dyDescent="0.2">
      <c r="A22" s="2">
        <v>46160</v>
      </c>
      <c r="B22" t="s">
        <v>100</v>
      </c>
      <c r="C22" s="4">
        <v>3.2800000000000003E-2</v>
      </c>
      <c r="D22" s="4">
        <v>7.3700000000000002E-2</v>
      </c>
      <c r="E22" t="s">
        <v>101</v>
      </c>
      <c r="F22" t="s">
        <v>101</v>
      </c>
      <c r="G22" s="5">
        <v>1.0684</v>
      </c>
      <c r="H22" s="5">
        <v>0.22170000000000001</v>
      </c>
      <c r="I22" s="6">
        <v>-0.24310000000000001</v>
      </c>
      <c r="J22" s="5">
        <v>0.1426</v>
      </c>
      <c r="K22" s="6">
        <v>-0.1431</v>
      </c>
      <c r="L22" s="5">
        <v>0.18490000000000001</v>
      </c>
      <c r="M22" s="5">
        <v>0.74290000000000012</v>
      </c>
      <c r="N22" s="5">
        <v>0.34020000000000011</v>
      </c>
      <c r="CZ22" t="str">
        <f>IF(P22="","",P22)</f>
        <v/>
      </c>
      <c r="DA22" t="str">
        <f>IF(S22="","",(1+CZ22)*(1+S22)-1)</f>
        <v/>
      </c>
      <c r="DB22" t="str">
        <f>IF(V22="","",(1+DA22)*(1+V22)-1)</f>
        <v/>
      </c>
      <c r="DC22" t="str">
        <f>IF(Y22="","",(1+DB22)*(1+Y22)-1)</f>
        <v/>
      </c>
      <c r="DD22" t="str">
        <f>IF(AB22="","",(1+DC22)*(1+AB22)-1)</f>
        <v/>
      </c>
      <c r="DE22" t="str">
        <f>IF(AE22="","",(1+DD22)*(1+AE22)-1)</f>
        <v/>
      </c>
      <c r="DF22" t="str">
        <f>IF(AH22="","",(1+DE22)*(1+AH22)-1)</f>
        <v/>
      </c>
      <c r="DG22" t="str">
        <f>IF(AK22="","",(1+DF22)*(1+AK22)-1)</f>
        <v/>
      </c>
      <c r="DH22" t="str">
        <f>IF(Q22="","",Q22)</f>
        <v/>
      </c>
      <c r="DI22" t="str">
        <f>IF(T22="","",(1+DH22)*(1+T22)-1)</f>
        <v/>
      </c>
      <c r="DJ22" t="str">
        <f>IF(W22="","",(1+DI22)*(1+W22)-1)</f>
        <v/>
      </c>
      <c r="DK22" t="str">
        <f>IF(Z22="","",(1+DJ22)*(1+Z22)-1)</f>
        <v/>
      </c>
      <c r="DL22" t="str">
        <f>IF(AC22="","",(1+DK22)*(1+AC22)-1)</f>
        <v/>
      </c>
      <c r="DM22" t="str">
        <f>IF(AF22="","",(1+DL22)*(1+AF22)-1)</f>
        <v/>
      </c>
      <c r="DN22" t="str">
        <f>IF(AI22="","",(1+DM22)*(1+AI22)-1)</f>
        <v/>
      </c>
      <c r="DO22" t="str">
        <f>IF(AL22="","",(1+DN22)*(1+AL22)-1)</f>
        <v/>
      </c>
    </row>
    <row r="23" spans="1:119" x14ac:dyDescent="0.2">
      <c r="A23" s="2">
        <v>46160</v>
      </c>
      <c r="B23" t="s">
        <v>106</v>
      </c>
      <c r="C23" s="4">
        <v>3.5799999999999998E-2</v>
      </c>
      <c r="D23" s="4">
        <v>5.4299999999999987E-2</v>
      </c>
      <c r="E23" t="s">
        <v>107</v>
      </c>
      <c r="F23" t="s">
        <v>107</v>
      </c>
      <c r="G23" s="5">
        <v>0.81059999999999999</v>
      </c>
      <c r="H23" s="5">
        <v>0.22170000000000001</v>
      </c>
      <c r="I23" s="6">
        <v>-4.4200000000000003E-2</v>
      </c>
      <c r="J23" s="5">
        <v>0.1426</v>
      </c>
      <c r="K23" s="6">
        <v>-0.5</v>
      </c>
      <c r="L23" s="5">
        <v>0.18490000000000001</v>
      </c>
      <c r="M23" s="5">
        <v>0.4597</v>
      </c>
      <c r="N23" s="5">
        <v>0.34020000000000011</v>
      </c>
      <c r="CZ23" t="str">
        <f>IF(P23="","",P23)</f>
        <v/>
      </c>
      <c r="DA23" t="str">
        <f>IF(S23="","",(1+CZ23)*(1+S23)-1)</f>
        <v/>
      </c>
      <c r="DB23" t="str">
        <f>IF(V23="","",(1+DA23)*(1+V23)-1)</f>
        <v/>
      </c>
      <c r="DC23" t="str">
        <f>IF(Y23="","",(1+DB23)*(1+Y23)-1)</f>
        <v/>
      </c>
      <c r="DD23" t="str">
        <f>IF(AB23="","",(1+DC23)*(1+AB23)-1)</f>
        <v/>
      </c>
      <c r="DE23" t="str">
        <f>IF(AE23="","",(1+DD23)*(1+AE23)-1)</f>
        <v/>
      </c>
      <c r="DF23" t="str">
        <f>IF(AH23="","",(1+DE23)*(1+AH23)-1)</f>
        <v/>
      </c>
      <c r="DG23" t="str">
        <f>IF(AK23="","",(1+DF23)*(1+AK23)-1)</f>
        <v/>
      </c>
      <c r="DH23" t="str">
        <f>IF(Q23="","",Q23)</f>
        <v/>
      </c>
      <c r="DI23" t="str">
        <f>IF(T23="","",(1+DH23)*(1+T23)-1)</f>
        <v/>
      </c>
      <c r="DJ23" t="str">
        <f>IF(W23="","",(1+DI23)*(1+W23)-1)</f>
        <v/>
      </c>
      <c r="DK23" t="str">
        <f>IF(Z23="","",(1+DJ23)*(1+Z23)-1)</f>
        <v/>
      </c>
      <c r="DL23" t="str">
        <f>IF(AC23="","",(1+DK23)*(1+AC23)-1)</f>
        <v/>
      </c>
      <c r="DM23" t="str">
        <f>IF(AF23="","",(1+DL23)*(1+AF23)-1)</f>
        <v/>
      </c>
      <c r="DN23" t="str">
        <f>IF(AI23="","",(1+DM23)*(1+AI23)-1)</f>
        <v/>
      </c>
      <c r="DO23" t="str">
        <f>IF(AL23="","",(1+DN23)*(1+AL23)-1)</f>
        <v/>
      </c>
    </row>
    <row r="25" spans="1:119" x14ac:dyDescent="0.2">
      <c r="P25" s="3">
        <f>AVERAGE(P9:P21)</f>
        <v>0.22777948717948721</v>
      </c>
      <c r="Q25" s="3">
        <f>AVERAGE(Q9:Q21)</f>
        <v>0.13166923076923079</v>
      </c>
      <c r="S25" s="3">
        <f>AVERAGE(S9:S21)</f>
        <v>0.23018472222222222</v>
      </c>
      <c r="T25" s="3">
        <f>AVERAGE(T9:T21)</f>
        <v>9.3266666666666678E-2</v>
      </c>
      <c r="V25" s="3">
        <f>AVERAGE(V9:V21)</f>
        <v>0.13158472222222223</v>
      </c>
      <c r="W25" s="3">
        <f>AVERAGE(W9:W21)</f>
        <v>0.11575833333333335</v>
      </c>
      <c r="Y25" s="3">
        <f>AVERAGE(Y9:Y21)</f>
        <v>0.12128166666666665</v>
      </c>
      <c r="Z25" s="3">
        <f>AVERAGE(Z9:Z21)</f>
        <v>0.11701000000000002</v>
      </c>
      <c r="AB25" s="3">
        <f>AVERAGE(AB9:AB21)</f>
        <v>0.17379259259259261</v>
      </c>
      <c r="AC25" s="3">
        <f>AVERAGE(AC9:AC21)</f>
        <v>0.11760000000000002</v>
      </c>
      <c r="AE25" s="3">
        <f>AVERAGE(AE9:AE21)</f>
        <v>7.8691666666666646E-2</v>
      </c>
      <c r="AF25" s="3">
        <f>AVERAGE(AF9:AF21)</f>
        <v>0.14083750000000003</v>
      </c>
      <c r="AH25" s="3">
        <f>AVERAGE(AH9:AH21)</f>
        <v>0.32050000000000001</v>
      </c>
      <c r="AI25" s="3">
        <f>AVERAGE(AI9:AI21)</f>
        <v>0.19741250000000002</v>
      </c>
      <c r="AK25" s="3">
        <f>AVERAGE(AK9:AK21)</f>
        <v>0.31673611111111116</v>
      </c>
      <c r="AL25" s="3">
        <f>AVERAGE(AL9:AL21)</f>
        <v>0.19520000000000004</v>
      </c>
      <c r="AN25" s="3">
        <f>AVERAGE(AN9:AN21)</f>
        <v>0.17687916666666664</v>
      </c>
      <c r="AO25" s="3">
        <f>AVERAGE(AO9:AO21)</f>
        <v>0.27175000000000005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H29"/>
  <sheetViews>
    <sheetView workbookViewId="0">
      <pane xSplit="6" ySplit="1" topLeftCell="G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2" customWidth="1"/>
    <col min="2" max="2" width="26" customWidth="1"/>
    <col min="3" max="4" width="20" customWidth="1"/>
    <col min="5" max="5" width="28" customWidth="1"/>
    <col min="6" max="6" width="34" customWidth="1"/>
    <col min="7" max="86" width="10" customWidth="1"/>
  </cols>
  <sheetData>
    <row r="1" spans="1:86" x14ac:dyDescent="0.2">
      <c r="A1" s="1" t="s">
        <v>0</v>
      </c>
      <c r="B1" s="1" t="s">
        <v>15</v>
      </c>
      <c r="C1" s="1" t="s">
        <v>149</v>
      </c>
      <c r="D1" s="1" t="s">
        <v>150</v>
      </c>
      <c r="E1" s="1" t="s">
        <v>151</v>
      </c>
      <c r="F1" s="1" t="s">
        <v>152</v>
      </c>
      <c r="G1" s="1" t="s">
        <v>153</v>
      </c>
      <c r="H1" s="1" t="s">
        <v>3</v>
      </c>
      <c r="I1" s="1" t="s">
        <v>154</v>
      </c>
      <c r="J1" s="1" t="s">
        <v>4</v>
      </c>
      <c r="K1" s="1" t="s">
        <v>155</v>
      </c>
      <c r="L1" s="1" t="s">
        <v>5</v>
      </c>
      <c r="M1" s="1" t="s">
        <v>156</v>
      </c>
      <c r="N1" s="1" t="s">
        <v>6</v>
      </c>
      <c r="O1" s="1" t="s">
        <v>18</v>
      </c>
      <c r="P1" s="1" t="s">
        <v>19</v>
      </c>
      <c r="Q1" s="1" t="s">
        <v>7</v>
      </c>
      <c r="R1" s="1" t="s">
        <v>20</v>
      </c>
      <c r="S1" s="1" t="s">
        <v>21</v>
      </c>
      <c r="T1" s="1" t="s">
        <v>8</v>
      </c>
      <c r="U1" s="1" t="s">
        <v>22</v>
      </c>
      <c r="V1" s="1" t="s">
        <v>23</v>
      </c>
      <c r="W1" s="1" t="s">
        <v>9</v>
      </c>
      <c r="X1" s="1" t="s">
        <v>24</v>
      </c>
      <c r="Y1" s="1" t="s">
        <v>25</v>
      </c>
      <c r="Z1" s="1" t="s">
        <v>10</v>
      </c>
      <c r="AA1" s="1" t="s">
        <v>26</v>
      </c>
      <c r="AB1" s="1" t="s">
        <v>27</v>
      </c>
      <c r="AC1" s="1" t="s">
        <v>11</v>
      </c>
      <c r="AD1" s="1" t="s">
        <v>28</v>
      </c>
      <c r="AE1" s="1" t="s">
        <v>29</v>
      </c>
      <c r="AF1" s="1" t="s">
        <v>12</v>
      </c>
      <c r="AG1" s="1" t="s">
        <v>30</v>
      </c>
      <c r="AH1" s="1" t="s">
        <v>31</v>
      </c>
      <c r="AI1" s="1" t="s">
        <v>13</v>
      </c>
      <c r="AJ1" s="1" t="s">
        <v>32</v>
      </c>
      <c r="AK1" s="1" t="s">
        <v>33</v>
      </c>
      <c r="AL1" s="1" t="s">
        <v>14</v>
      </c>
      <c r="AM1" s="1" t="s">
        <v>34</v>
      </c>
      <c r="AN1" s="1" t="s">
        <v>35</v>
      </c>
      <c r="AO1" s="1" t="s">
        <v>36</v>
      </c>
      <c r="AP1" s="1" t="s">
        <v>37</v>
      </c>
      <c r="AQ1" s="1" t="s">
        <v>38</v>
      </c>
      <c r="AR1" s="1" t="s">
        <v>39</v>
      </c>
      <c r="AS1" s="1" t="s">
        <v>40</v>
      </c>
      <c r="AT1" s="1" t="s">
        <v>41</v>
      </c>
      <c r="AU1" s="1" t="s">
        <v>42</v>
      </c>
      <c r="AV1" s="1" t="s">
        <v>43</v>
      </c>
      <c r="AW1" s="1" t="s">
        <v>44</v>
      </c>
      <c r="AX1" s="1" t="s">
        <v>45</v>
      </c>
      <c r="AY1" s="1" t="s">
        <v>46</v>
      </c>
      <c r="AZ1" s="1" t="s">
        <v>47</v>
      </c>
      <c r="BA1" s="1" t="s">
        <v>48</v>
      </c>
      <c r="BB1" s="1" t="s">
        <v>49</v>
      </c>
      <c r="BC1" s="1" t="s">
        <v>50</v>
      </c>
      <c r="BD1" s="1" t="s">
        <v>51</v>
      </c>
      <c r="BE1" s="1" t="s">
        <v>52</v>
      </c>
      <c r="BF1" s="1" t="s">
        <v>53</v>
      </c>
      <c r="BG1" s="1" t="s">
        <v>54</v>
      </c>
      <c r="BH1" s="1" t="s">
        <v>55</v>
      </c>
      <c r="BI1" s="1" t="s">
        <v>56</v>
      </c>
      <c r="BJ1" s="1" t="s">
        <v>57</v>
      </c>
      <c r="BK1" s="1" t="s">
        <v>58</v>
      </c>
      <c r="BL1" s="1" t="s">
        <v>59</v>
      </c>
      <c r="BM1" s="1" t="s">
        <v>60</v>
      </c>
      <c r="BN1" s="1" t="s">
        <v>61</v>
      </c>
      <c r="BO1" s="1" t="s">
        <v>62</v>
      </c>
      <c r="BP1" s="1" t="s">
        <v>63</v>
      </c>
      <c r="BQ1" s="1" t="s">
        <v>64</v>
      </c>
      <c r="BR1" s="1" t="s">
        <v>65</v>
      </c>
      <c r="BS1" s="1" t="s">
        <v>66</v>
      </c>
      <c r="BT1" s="1" t="s">
        <v>67</v>
      </c>
      <c r="BU1" s="1" t="s">
        <v>68</v>
      </c>
      <c r="BV1" s="1" t="s">
        <v>69</v>
      </c>
      <c r="BW1" s="1" t="s">
        <v>70</v>
      </c>
      <c r="BX1" s="1" t="s">
        <v>71</v>
      </c>
      <c r="BY1" s="1" t="s">
        <v>72</v>
      </c>
      <c r="BZ1" s="1" t="s">
        <v>73</v>
      </c>
      <c r="CA1" s="1" t="s">
        <v>74</v>
      </c>
      <c r="CB1" s="1" t="s">
        <v>75</v>
      </c>
      <c r="CC1" s="1" t="s">
        <v>76</v>
      </c>
      <c r="CD1" s="1" t="s">
        <v>77</v>
      </c>
      <c r="CE1" s="1" t="s">
        <v>78</v>
      </c>
      <c r="CF1" s="1" t="s">
        <v>79</v>
      </c>
      <c r="CG1" s="1" t="s">
        <v>80</v>
      </c>
      <c r="CH1" s="1" t="s">
        <v>81</v>
      </c>
    </row>
    <row r="2" spans="1:86" x14ac:dyDescent="0.2">
      <c r="A2" s="2">
        <v>43966</v>
      </c>
      <c r="B2" t="s">
        <v>86</v>
      </c>
      <c r="C2" s="4">
        <v>0</v>
      </c>
      <c r="D2" s="4">
        <v>3.9100000000000003E-2</v>
      </c>
      <c r="E2" t="s">
        <v>87</v>
      </c>
      <c r="F2" t="s">
        <v>87</v>
      </c>
      <c r="O2" s="4">
        <v>6.0149218747793769E-2</v>
      </c>
      <c r="P2" s="5">
        <v>2.6800000000000001E-2</v>
      </c>
      <c r="Q2" s="5">
        <v>0.3009</v>
      </c>
      <c r="R2" s="4">
        <v>4.2238126170694203E-2</v>
      </c>
      <c r="S2" s="5">
        <v>0.35659999999999997</v>
      </c>
      <c r="T2" s="5">
        <v>0.18190000000000001</v>
      </c>
      <c r="U2" s="4">
        <v>1.7486235248291911E-2</v>
      </c>
      <c r="V2" s="5">
        <v>0.41839999999999999</v>
      </c>
      <c r="W2" s="5">
        <v>0.27850000000000003</v>
      </c>
      <c r="X2" s="4">
        <v>1.6832103283159081E-2</v>
      </c>
      <c r="Y2" s="6">
        <v>-4.0899999999999999E-2</v>
      </c>
      <c r="Z2" s="6">
        <v>-2.8500000000000001E-2</v>
      </c>
      <c r="AA2" s="4">
        <v>1.4969728830410889E-2</v>
      </c>
      <c r="AB2" s="6">
        <v>-0.15709999999999999</v>
      </c>
      <c r="AC2" s="5">
        <v>5.0199999999999988E-2</v>
      </c>
      <c r="AD2" s="4">
        <v>1.193100495645363E-2</v>
      </c>
      <c r="AE2" s="5">
        <v>8.4000000000000005E-2</v>
      </c>
      <c r="AF2" s="5">
        <v>0.1507</v>
      </c>
      <c r="AG2" s="4">
        <v>4.2777373300544638E-2</v>
      </c>
      <c r="AH2" s="5">
        <v>0.1716</v>
      </c>
      <c r="AI2" s="6">
        <v>-0.1138</v>
      </c>
      <c r="AJ2" s="4">
        <v>1.2185511339830139E-2</v>
      </c>
      <c r="AK2" s="6">
        <v>-0.2147</v>
      </c>
      <c r="AL2" s="6">
        <v>-0.13789999999999999</v>
      </c>
      <c r="AN2" s="6">
        <v>-8.0100000000000005E-2</v>
      </c>
      <c r="AO2" s="5">
        <v>7.8600000000000003E-2</v>
      </c>
      <c r="AQ2" s="6">
        <v>-4.3099999999999999E-2</v>
      </c>
      <c r="AR2" s="6">
        <v>-0.11269999999999999</v>
      </c>
      <c r="AT2" s="5">
        <v>6.9999999999999993E-3</v>
      </c>
      <c r="AU2" s="5">
        <v>0.17</v>
      </c>
      <c r="AV2" s="4">
        <v>1.7018554613246389E-2</v>
      </c>
      <c r="AW2" s="5">
        <v>4.3499999999999997E-2</v>
      </c>
      <c r="AX2" s="6">
        <v>-3.0000000000000001E-3</v>
      </c>
      <c r="AY2" s="4">
        <v>1.9830561513299611E-2</v>
      </c>
      <c r="AZ2" s="5">
        <v>5.8299999999999998E-2</v>
      </c>
      <c r="BA2" s="5">
        <v>0.1946</v>
      </c>
      <c r="BB2" s="4">
        <v>1.5687019013901161E-2</v>
      </c>
      <c r="BC2" s="5">
        <v>0.1321</v>
      </c>
      <c r="BD2" s="5">
        <v>6.9199999999999998E-2</v>
      </c>
      <c r="BF2" s="5">
        <v>6.1799999999999987E-2</v>
      </c>
      <c r="BG2" s="5">
        <v>0.26960000000000001</v>
      </c>
      <c r="BH2" s="4">
        <v>4.1179589733099729E-2</v>
      </c>
      <c r="BI2" s="5">
        <v>0.56340000000000001</v>
      </c>
      <c r="BJ2" s="5">
        <v>0.15049999999999999</v>
      </c>
      <c r="BK2" s="4">
        <v>3.1222833796893359E-2</v>
      </c>
      <c r="BL2" s="6">
        <v>-0.2137</v>
      </c>
      <c r="BM2" s="5">
        <v>1.06E-2</v>
      </c>
      <c r="BN2" s="4">
        <v>1.020683173145912E-2</v>
      </c>
      <c r="BO2" s="6">
        <v>-1.11E-2</v>
      </c>
      <c r="BP2" s="5">
        <v>4.99E-2</v>
      </c>
      <c r="BQ2" s="4">
        <v>4.4336326359926126E-3</v>
      </c>
      <c r="BR2" s="5">
        <v>4.6999999999999993E-3</v>
      </c>
      <c r="BS2" s="5">
        <v>2.2200000000000001E-2</v>
      </c>
      <c r="BT2" s="4">
        <v>2.3471941842505919E-2</v>
      </c>
      <c r="BU2" s="6">
        <v>-3.9600000000000003E-2</v>
      </c>
      <c r="BV2" s="6">
        <v>-2.1600000000000001E-2</v>
      </c>
      <c r="BW2" s="4">
        <v>2.4104406472204298E-3</v>
      </c>
      <c r="BX2" s="5">
        <v>0.31390000000000001</v>
      </c>
      <c r="BY2" s="5">
        <v>0.22170000000000001</v>
      </c>
      <c r="BZ2" s="4">
        <v>2.3623488022934729E-2</v>
      </c>
      <c r="CA2" s="5">
        <v>0.97129999999999994</v>
      </c>
      <c r="CB2" s="5">
        <v>0.1426</v>
      </c>
      <c r="CC2" s="4">
        <v>2.5770479406663108E-2</v>
      </c>
      <c r="CD2" s="5">
        <v>0.62029999999999996</v>
      </c>
      <c r="CE2" s="5">
        <v>0.18490000000000001</v>
      </c>
      <c r="CF2" s="4">
        <v>5.1357884567679292E-2</v>
      </c>
      <c r="CG2" s="5">
        <v>0.70550000000000002</v>
      </c>
      <c r="CH2" s="5">
        <v>0.34020000000000011</v>
      </c>
    </row>
    <row r="3" spans="1:86" x14ac:dyDescent="0.2">
      <c r="A3" s="2">
        <v>43966</v>
      </c>
      <c r="B3" t="s">
        <v>84</v>
      </c>
      <c r="C3" s="4">
        <v>0</v>
      </c>
      <c r="D3" s="4">
        <v>0.11650000000000001</v>
      </c>
      <c r="E3" t="s">
        <v>157</v>
      </c>
      <c r="F3" t="s">
        <v>157</v>
      </c>
      <c r="O3" s="4">
        <v>0.1071641377985999</v>
      </c>
      <c r="P3" s="5">
        <v>0.2011</v>
      </c>
      <c r="Q3" s="5">
        <v>0.3009</v>
      </c>
      <c r="S3" s="5">
        <v>8.6800000000000002E-2</v>
      </c>
      <c r="T3" s="5">
        <v>0.18190000000000001</v>
      </c>
      <c r="V3" s="5">
        <v>0.1169</v>
      </c>
      <c r="W3" s="5">
        <v>0.27850000000000003</v>
      </c>
      <c r="Y3" s="5">
        <v>5.6349999999999997E-2</v>
      </c>
      <c r="Z3" s="6">
        <v>-2.8500000000000001E-2</v>
      </c>
      <c r="AA3" s="4">
        <v>4.2641327233549318E-2</v>
      </c>
      <c r="AB3" s="5">
        <v>9.3350000000000002E-2</v>
      </c>
      <c r="AC3" s="5">
        <v>5.0199999999999988E-2</v>
      </c>
      <c r="AD3" s="4">
        <v>4.5099737146670552E-2</v>
      </c>
      <c r="AE3" s="5">
        <v>7.4050000000000005E-2</v>
      </c>
      <c r="AF3" s="5">
        <v>0.1507</v>
      </c>
      <c r="AG3" s="4">
        <v>0.14417818385208839</v>
      </c>
      <c r="AH3" s="6">
        <v>-0.10595</v>
      </c>
      <c r="AI3" s="6">
        <v>-0.1138</v>
      </c>
      <c r="AJ3" s="4">
        <v>0.1726323390956726</v>
      </c>
      <c r="AK3" s="6">
        <v>-0.22070000000000001</v>
      </c>
      <c r="AL3" s="6">
        <v>-0.13789999999999999</v>
      </c>
      <c r="AM3" s="4">
        <v>0.25025149045488282</v>
      </c>
      <c r="AN3" s="5">
        <v>0.1794</v>
      </c>
      <c r="AO3" s="5">
        <v>7.8600000000000003E-2</v>
      </c>
      <c r="AP3" s="4">
        <v>0.1163526824991888</v>
      </c>
      <c r="AQ3" s="6">
        <v>-0.2641</v>
      </c>
      <c r="AR3" s="6">
        <v>-0.11269999999999999</v>
      </c>
      <c r="AS3" s="4">
        <v>7.8572175764065569E-2</v>
      </c>
      <c r="AT3" s="5">
        <v>7.999999999999996E-4</v>
      </c>
      <c r="AU3" s="5">
        <v>0.17</v>
      </c>
      <c r="AV3" s="4">
        <v>6.4960070684596777E-2</v>
      </c>
      <c r="AW3" s="5">
        <v>0.17294999999999999</v>
      </c>
      <c r="AX3" s="6">
        <v>-3.0000000000000001E-3</v>
      </c>
      <c r="AY3" s="4">
        <v>3.494660146981024E-2</v>
      </c>
      <c r="AZ3" s="5">
        <v>0.19564999999999999</v>
      </c>
      <c r="BA3" s="5">
        <v>0.1946</v>
      </c>
      <c r="BB3" s="4">
        <v>0.15710922665643731</v>
      </c>
      <c r="BC3" s="5">
        <v>2.7300000000000001E-2</v>
      </c>
      <c r="BD3" s="5">
        <v>6.9199999999999998E-2</v>
      </c>
      <c r="BE3" s="4">
        <v>6.9290723624698111E-2</v>
      </c>
      <c r="BF3" s="5">
        <v>0.13245000000000001</v>
      </c>
      <c r="BG3" s="5">
        <v>0.26960000000000001</v>
      </c>
      <c r="BH3" s="4">
        <v>8.1587157426920229E-2</v>
      </c>
      <c r="BI3" s="5">
        <v>0.13494999999999999</v>
      </c>
      <c r="BJ3" s="5">
        <v>0.15049999999999999</v>
      </c>
      <c r="BK3" s="4">
        <v>9.5188409096776325E-2</v>
      </c>
      <c r="BL3" s="6">
        <v>-7.7349999999999988E-2</v>
      </c>
      <c r="BM3" s="5">
        <v>1.06E-2</v>
      </c>
      <c r="BN3" s="4">
        <v>5.3441323192805062E-2</v>
      </c>
      <c r="BO3" s="5">
        <v>0.16980000000000001</v>
      </c>
      <c r="BP3" s="5">
        <v>4.99E-2</v>
      </c>
      <c r="BQ3" s="4">
        <v>8.0565263896286196E-2</v>
      </c>
      <c r="BR3" s="5">
        <v>6.8750000000000006E-2</v>
      </c>
      <c r="BS3" s="5">
        <v>2.2200000000000001E-2</v>
      </c>
      <c r="BT3" s="4">
        <v>0.13851882434874491</v>
      </c>
      <c r="BU3" s="6">
        <v>-0.10829999999999999</v>
      </c>
      <c r="BV3" s="6">
        <v>-2.1600000000000001E-2</v>
      </c>
      <c r="BW3" s="4">
        <v>0.119801643542698</v>
      </c>
      <c r="BX3" s="5">
        <v>0.1825</v>
      </c>
      <c r="BY3" s="5">
        <v>0.22170000000000001</v>
      </c>
      <c r="BZ3" s="4">
        <v>6.3679752352033478E-2</v>
      </c>
      <c r="CA3" s="5">
        <v>0.18965000000000001</v>
      </c>
      <c r="CB3" s="5">
        <v>0.1426</v>
      </c>
      <c r="CC3" s="4">
        <v>4.9795920856262187E-2</v>
      </c>
      <c r="CD3" s="6">
        <v>-2.4750000000000001E-2</v>
      </c>
      <c r="CE3" s="5">
        <v>0.18490000000000001</v>
      </c>
      <c r="CF3" s="4">
        <v>7.1608588370053405E-2</v>
      </c>
      <c r="CG3" s="5">
        <v>0.31595000000000001</v>
      </c>
      <c r="CH3" s="5">
        <v>0.34020000000000011</v>
      </c>
    </row>
    <row r="4" spans="1:86" x14ac:dyDescent="0.2">
      <c r="A4" s="2">
        <v>44057</v>
      </c>
      <c r="B4" t="s">
        <v>90</v>
      </c>
      <c r="C4" s="4">
        <v>0</v>
      </c>
      <c r="D4" s="4">
        <v>3.6700000000000003E-2</v>
      </c>
      <c r="E4" t="s">
        <v>91</v>
      </c>
      <c r="F4" t="s">
        <v>91</v>
      </c>
      <c r="M4" s="5">
        <v>0.26989999999999997</v>
      </c>
      <c r="N4" s="5">
        <v>0.3009</v>
      </c>
      <c r="P4" s="5">
        <v>0.25040000000000001</v>
      </c>
      <c r="Q4" s="5">
        <v>0.18190000000000001</v>
      </c>
      <c r="S4" s="5">
        <v>8.5800000000000001E-2</v>
      </c>
      <c r="T4" s="5">
        <v>0.27850000000000003</v>
      </c>
      <c r="V4" s="6">
        <v>-0.1027</v>
      </c>
      <c r="W4" s="6">
        <v>-2.8500000000000001E-2</v>
      </c>
      <c r="Y4" s="5">
        <v>0.115</v>
      </c>
      <c r="Z4" s="5">
        <v>5.0199999999999988E-2</v>
      </c>
      <c r="AB4" s="5">
        <v>0.51200000000000001</v>
      </c>
      <c r="AC4" s="5">
        <v>0.1507</v>
      </c>
      <c r="AE4" s="6">
        <v>-9.2899999999999996E-2</v>
      </c>
      <c r="AF4" s="6">
        <v>-0.1138</v>
      </c>
      <c r="AI4" s="6">
        <v>-0.13789999999999999</v>
      </c>
      <c r="AL4" s="5">
        <v>7.8600000000000003E-2</v>
      </c>
      <c r="AO4" s="6">
        <v>-0.11269999999999999</v>
      </c>
      <c r="AR4" s="5">
        <v>0.17</v>
      </c>
      <c r="AU4" s="6">
        <v>-3.0000000000000001E-3</v>
      </c>
      <c r="AX4" s="5">
        <v>0.1946</v>
      </c>
      <c r="BA4" s="5">
        <v>6.9199999999999998E-2</v>
      </c>
      <c r="BD4" s="5">
        <v>0.26960000000000001</v>
      </c>
      <c r="BG4" s="5">
        <v>0.15049999999999999</v>
      </c>
      <c r="BJ4" s="5">
        <v>1.06E-2</v>
      </c>
      <c r="BM4" s="5">
        <v>4.99E-2</v>
      </c>
      <c r="BN4" s="4">
        <v>6.9588691269055862E-3</v>
      </c>
      <c r="BP4" s="5">
        <v>2.2200000000000001E-2</v>
      </c>
      <c r="BS4" s="6">
        <v>-2.1600000000000001E-2</v>
      </c>
      <c r="BT4" s="4">
        <v>8.2915697451718794E-3</v>
      </c>
      <c r="BV4" s="5">
        <v>0.22170000000000001</v>
      </c>
      <c r="BW4" s="4">
        <v>1.342374594381259E-2</v>
      </c>
      <c r="BY4" s="5">
        <v>0.1426</v>
      </c>
      <c r="BZ4" s="4">
        <v>8.6528838821311876E-3</v>
      </c>
      <c r="CB4" s="5">
        <v>0.18490000000000001</v>
      </c>
      <c r="CC4" s="4">
        <v>2.838584439757362E-2</v>
      </c>
      <c r="CE4" s="5">
        <v>0.34020000000000011</v>
      </c>
    </row>
    <row r="5" spans="1:86" x14ac:dyDescent="0.2">
      <c r="A5" s="2">
        <v>44057</v>
      </c>
      <c r="B5" t="s">
        <v>92</v>
      </c>
      <c r="C5" s="4">
        <v>0</v>
      </c>
      <c r="D5" s="4">
        <v>3.5900000000000001E-2</v>
      </c>
      <c r="E5" t="s">
        <v>93</v>
      </c>
      <c r="F5" t="s">
        <v>93</v>
      </c>
      <c r="M5" s="6">
        <v>-0.15540000000000001</v>
      </c>
      <c r="N5" s="5">
        <v>0.3009</v>
      </c>
      <c r="O5" s="4">
        <v>2.5826423814697248E-2</v>
      </c>
      <c r="P5" s="6">
        <v>-4.8399999999999999E-2</v>
      </c>
      <c r="Q5" s="5">
        <v>0.18190000000000001</v>
      </c>
      <c r="S5" s="5">
        <v>0.36070000000000002</v>
      </c>
      <c r="T5" s="5">
        <v>0.27850000000000003</v>
      </c>
      <c r="U5" s="4">
        <v>5.2291701114613367E-3</v>
      </c>
      <c r="V5" s="6">
        <v>-8.3699999999999997E-2</v>
      </c>
      <c r="W5" s="6">
        <v>-2.8500000000000001E-2</v>
      </c>
      <c r="Y5" s="6">
        <v>-5.4000000000000013E-2</v>
      </c>
      <c r="Z5" s="5">
        <v>5.0199999999999988E-2</v>
      </c>
      <c r="AB5" s="6">
        <v>-5.2400000000000002E-2</v>
      </c>
      <c r="AC5" s="5">
        <v>0.1507</v>
      </c>
      <c r="AD5" s="4">
        <v>6.7026113258485953E-2</v>
      </c>
      <c r="AE5" s="6">
        <v>-4.7199999999999999E-2</v>
      </c>
      <c r="AF5" s="6">
        <v>-0.1138</v>
      </c>
      <c r="AH5" s="6">
        <v>-8.7400000000000005E-2</v>
      </c>
      <c r="AI5" s="6">
        <v>-0.13789999999999999</v>
      </c>
      <c r="AK5" s="6">
        <v>-0.1479</v>
      </c>
      <c r="AL5" s="5">
        <v>7.8600000000000003E-2</v>
      </c>
      <c r="AN5" s="6">
        <v>-0.15359999999999999</v>
      </c>
      <c r="AO5" s="6">
        <v>-0.11269999999999999</v>
      </c>
      <c r="AQ5" s="6">
        <v>-4.4800000000000013E-2</v>
      </c>
      <c r="AR5" s="5">
        <v>0.17</v>
      </c>
      <c r="AT5" s="5">
        <v>4.4800000000000013E-2</v>
      </c>
      <c r="AU5" s="6">
        <v>-3.0000000000000001E-3</v>
      </c>
      <c r="AW5" s="5">
        <v>0.2016</v>
      </c>
      <c r="AX5" s="5">
        <v>0.1946</v>
      </c>
      <c r="AZ5" s="5">
        <v>0.1082</v>
      </c>
      <c r="BA5" s="5">
        <v>6.9199999999999998E-2</v>
      </c>
      <c r="BC5" s="5">
        <v>0.1246</v>
      </c>
      <c r="BD5" s="5">
        <v>0.26960000000000001</v>
      </c>
      <c r="BF5" s="6">
        <v>-0.28949999999999998</v>
      </c>
      <c r="BG5" s="5">
        <v>0.15049999999999999</v>
      </c>
      <c r="BI5" s="6">
        <v>-0.3589</v>
      </c>
      <c r="BJ5" s="5">
        <v>1.06E-2</v>
      </c>
      <c r="BL5" s="5">
        <v>0.25650000000000001</v>
      </c>
      <c r="BM5" s="5">
        <v>4.99E-2</v>
      </c>
      <c r="BO5" s="6">
        <v>-5.7099999999999998E-2</v>
      </c>
      <c r="BP5" s="5">
        <v>2.2200000000000001E-2</v>
      </c>
      <c r="BR5" s="6">
        <v>-8.6899999999999991E-2</v>
      </c>
      <c r="BS5" s="6">
        <v>-2.1600000000000001E-2</v>
      </c>
      <c r="BU5" s="5">
        <v>0.1072</v>
      </c>
      <c r="BV5" s="5">
        <v>0.22170000000000001</v>
      </c>
      <c r="BW5" s="4">
        <v>1.7060410156834939E-2</v>
      </c>
      <c r="BX5" s="5">
        <v>0.48870000000000002</v>
      </c>
      <c r="BY5" s="5">
        <v>0.1426</v>
      </c>
      <c r="BZ5" s="4">
        <v>2.1820623343951741E-3</v>
      </c>
      <c r="CA5" s="5">
        <v>0.30009999999999998</v>
      </c>
      <c r="CB5" s="5">
        <v>0.18490000000000001</v>
      </c>
      <c r="CC5" s="4">
        <v>5.7678323794157884E-3</v>
      </c>
      <c r="CD5" s="5">
        <v>1.3424</v>
      </c>
      <c r="CE5" s="5">
        <v>0.34020000000000011</v>
      </c>
    </row>
    <row r="6" spans="1:86" x14ac:dyDescent="0.2">
      <c r="A6" s="2">
        <v>44348</v>
      </c>
      <c r="B6" t="s">
        <v>82</v>
      </c>
      <c r="C6" s="4">
        <v>0</v>
      </c>
      <c r="D6" s="4">
        <v>5.3600000000000002E-2</v>
      </c>
      <c r="E6" t="s">
        <v>140</v>
      </c>
      <c r="F6" t="s">
        <v>140</v>
      </c>
      <c r="G6" s="5">
        <v>0.5</v>
      </c>
      <c r="H6" s="5">
        <v>0.3009</v>
      </c>
      <c r="I6" s="5">
        <v>2.9899999999999999E-2</v>
      </c>
      <c r="J6" s="5">
        <v>0.18190000000000001</v>
      </c>
      <c r="K6" s="5">
        <v>9.2300000000000007E-2</v>
      </c>
      <c r="L6" s="5">
        <v>0.27850000000000003</v>
      </c>
      <c r="M6" s="6">
        <v>-0.1164</v>
      </c>
      <c r="N6" s="6">
        <v>-2.8500000000000001E-2</v>
      </c>
      <c r="O6" s="4">
        <v>3.3591504173371908E-2</v>
      </c>
      <c r="P6" s="5">
        <v>0.33</v>
      </c>
      <c r="Q6" s="5">
        <v>5.0199999999999988E-2</v>
      </c>
      <c r="R6" s="4">
        <v>7.2732751298149728E-4</v>
      </c>
      <c r="S6" s="5">
        <v>0.36299999999999999</v>
      </c>
      <c r="T6" s="5">
        <v>0.1507</v>
      </c>
      <c r="V6" s="6">
        <v>-0.21990000000000001</v>
      </c>
      <c r="W6" s="6">
        <v>-0.1138</v>
      </c>
      <c r="Y6" s="6">
        <v>-0.17530000000000001</v>
      </c>
      <c r="Z6" s="6">
        <v>-0.13789999999999999</v>
      </c>
      <c r="AB6" s="5">
        <v>7.1800000000000003E-2</v>
      </c>
      <c r="AC6" s="5">
        <v>7.8600000000000003E-2</v>
      </c>
      <c r="AD6" s="4">
        <v>7.2015993445274831E-2</v>
      </c>
      <c r="AE6" s="6">
        <v>-0.27210000000000001</v>
      </c>
      <c r="AF6" s="6">
        <v>-0.11269999999999999</v>
      </c>
      <c r="AG6" s="4">
        <v>0.17611366548133389</v>
      </c>
      <c r="AH6" s="5">
        <v>0.16889999999999999</v>
      </c>
      <c r="AI6" s="5">
        <v>0.17</v>
      </c>
      <c r="AJ6" s="4">
        <v>0.1845353142315527</v>
      </c>
      <c r="AK6" s="5">
        <v>0.13320000000000001</v>
      </c>
      <c r="AL6" s="6">
        <v>-3.0000000000000001E-3</v>
      </c>
      <c r="AM6" s="4">
        <v>5.97387260425499E-2</v>
      </c>
      <c r="AN6" s="5">
        <v>0.1497</v>
      </c>
      <c r="AO6" s="5">
        <v>0.1946</v>
      </c>
      <c r="AP6" s="4">
        <v>0.11503127978022901</v>
      </c>
      <c r="AQ6" s="5">
        <v>7.0499999999999993E-2</v>
      </c>
      <c r="AR6" s="5">
        <v>6.9199999999999998E-2</v>
      </c>
      <c r="AS6" s="4">
        <v>6.844211211829733E-2</v>
      </c>
      <c r="AT6" s="5">
        <v>0.49070000000000003</v>
      </c>
      <c r="AU6" s="5">
        <v>0.26960000000000001</v>
      </c>
      <c r="AV6" s="4">
        <v>0.109337027069424</v>
      </c>
      <c r="AW6" s="6">
        <v>-0.1065</v>
      </c>
      <c r="AX6" s="5">
        <v>0.15049999999999999</v>
      </c>
      <c r="AY6" s="4">
        <v>0.1128971115587665</v>
      </c>
      <c r="AZ6" s="6">
        <v>-0.11849999999999999</v>
      </c>
      <c r="BA6" s="5">
        <v>1.06E-2</v>
      </c>
      <c r="BB6" s="4">
        <v>8.6224359728782257E-2</v>
      </c>
      <c r="BC6" s="6">
        <v>-1.3599999999999999E-2</v>
      </c>
      <c r="BD6" s="5">
        <v>4.99E-2</v>
      </c>
      <c r="BE6" s="4">
        <v>7.381599107760152E-2</v>
      </c>
      <c r="BF6" s="6">
        <v>-0.18540000000000001</v>
      </c>
      <c r="BG6" s="5">
        <v>2.2200000000000001E-2</v>
      </c>
      <c r="BH6" s="4">
        <v>0.1013087542009377</v>
      </c>
      <c r="BI6" s="5">
        <v>1.67E-2</v>
      </c>
      <c r="BJ6" s="6">
        <v>-2.1600000000000001E-2</v>
      </c>
      <c r="BK6" s="4">
        <v>9.8614570946374353E-2</v>
      </c>
      <c r="BL6" s="5">
        <v>0.5736</v>
      </c>
      <c r="BM6" s="5">
        <v>0.22170000000000001</v>
      </c>
      <c r="BN6" s="4">
        <v>3.1576561889427472E-2</v>
      </c>
      <c r="BO6" s="5">
        <v>0.36399999999999999</v>
      </c>
      <c r="BP6" s="5">
        <v>0.1426</v>
      </c>
      <c r="BQ6" s="4">
        <v>4.3875282273435567E-2</v>
      </c>
      <c r="BR6" s="6">
        <v>-0.1772</v>
      </c>
      <c r="BS6" s="5">
        <v>0.18490000000000001</v>
      </c>
      <c r="BT6" s="4">
        <v>4.3531750318210702E-2</v>
      </c>
      <c r="BU6" s="5">
        <v>1.073</v>
      </c>
      <c r="BV6" s="5">
        <v>0.34020000000000011</v>
      </c>
    </row>
    <row r="7" spans="1:86" x14ac:dyDescent="0.2">
      <c r="A7" s="2">
        <v>44424</v>
      </c>
      <c r="B7" t="s">
        <v>84</v>
      </c>
      <c r="C7" s="4">
        <v>0</v>
      </c>
      <c r="D7" s="4">
        <v>4.2599999999999999E-2</v>
      </c>
      <c r="E7" t="s">
        <v>157</v>
      </c>
      <c r="F7" t="s">
        <v>157</v>
      </c>
      <c r="G7" s="5">
        <v>8.6800000000000002E-2</v>
      </c>
      <c r="H7" s="5">
        <v>0.18190000000000001</v>
      </c>
      <c r="I7" s="5">
        <v>0.1169</v>
      </c>
      <c r="J7" s="5">
        <v>0.27850000000000003</v>
      </c>
      <c r="K7" s="5">
        <v>5.6349999999999997E-2</v>
      </c>
      <c r="L7" s="6">
        <v>-2.8500000000000001E-2</v>
      </c>
      <c r="M7" s="5">
        <v>9.3350000000000002E-2</v>
      </c>
      <c r="N7" s="5">
        <v>5.0199999999999988E-2</v>
      </c>
      <c r="O7" s="4">
        <v>4.5099737146670552E-2</v>
      </c>
      <c r="P7" s="5">
        <v>7.4050000000000005E-2</v>
      </c>
      <c r="Q7" s="5">
        <v>0.1507</v>
      </c>
      <c r="R7" s="4">
        <v>0.14417818385208839</v>
      </c>
      <c r="S7" s="6">
        <v>-0.10595</v>
      </c>
      <c r="T7" s="6">
        <v>-0.1138</v>
      </c>
      <c r="U7" s="4">
        <v>0.1726323390956726</v>
      </c>
      <c r="V7" s="6">
        <v>-0.22070000000000001</v>
      </c>
      <c r="W7" s="6">
        <v>-0.13789999999999999</v>
      </c>
      <c r="X7" s="4">
        <v>0.25025149045488282</v>
      </c>
      <c r="Y7" s="5">
        <v>0.1794</v>
      </c>
      <c r="Z7" s="5">
        <v>7.8600000000000003E-2</v>
      </c>
      <c r="AA7" s="4">
        <v>0.1163526824991888</v>
      </c>
      <c r="AB7" s="6">
        <v>-0.2641</v>
      </c>
      <c r="AC7" s="6">
        <v>-0.11269999999999999</v>
      </c>
      <c r="AD7" s="4">
        <v>7.8572175764065569E-2</v>
      </c>
      <c r="AE7" s="5">
        <v>7.999999999999996E-4</v>
      </c>
      <c r="AF7" s="5">
        <v>0.17</v>
      </c>
      <c r="AG7" s="4">
        <v>6.4960070684596777E-2</v>
      </c>
      <c r="AH7" s="5">
        <v>0.17294999999999999</v>
      </c>
      <c r="AI7" s="6">
        <v>-3.0000000000000001E-3</v>
      </c>
      <c r="AJ7" s="4">
        <v>3.494660146981024E-2</v>
      </c>
      <c r="AK7" s="5">
        <v>0.19564999999999999</v>
      </c>
      <c r="AL7" s="5">
        <v>0.1946</v>
      </c>
      <c r="AM7" s="4">
        <v>0.15710922665643731</v>
      </c>
      <c r="AN7" s="5">
        <v>2.7300000000000001E-2</v>
      </c>
      <c r="AO7" s="5">
        <v>6.9199999999999998E-2</v>
      </c>
      <c r="AP7" s="4">
        <v>6.9290723624698111E-2</v>
      </c>
      <c r="AQ7" s="5">
        <v>0.13245000000000001</v>
      </c>
      <c r="AR7" s="5">
        <v>0.26960000000000001</v>
      </c>
      <c r="AS7" s="4">
        <v>8.1587157426920229E-2</v>
      </c>
      <c r="AT7" s="5">
        <v>0.13494999999999999</v>
      </c>
      <c r="AU7" s="5">
        <v>0.15049999999999999</v>
      </c>
      <c r="AV7" s="4">
        <v>9.5188409096776325E-2</v>
      </c>
      <c r="AW7" s="6">
        <v>-7.7349999999999988E-2</v>
      </c>
      <c r="AX7" s="5">
        <v>1.06E-2</v>
      </c>
      <c r="AY7" s="4">
        <v>5.3441323192805062E-2</v>
      </c>
      <c r="AZ7" s="5">
        <v>0.16980000000000001</v>
      </c>
      <c r="BA7" s="5">
        <v>4.99E-2</v>
      </c>
      <c r="BB7" s="4">
        <v>8.0565263896286196E-2</v>
      </c>
      <c r="BC7" s="5">
        <v>6.8750000000000006E-2</v>
      </c>
      <c r="BD7" s="5">
        <v>2.2200000000000001E-2</v>
      </c>
      <c r="BE7" s="4">
        <v>0.13851882434874491</v>
      </c>
      <c r="BF7" s="6">
        <v>-0.10829999999999999</v>
      </c>
      <c r="BG7" s="6">
        <v>-2.1600000000000001E-2</v>
      </c>
      <c r="BH7" s="4">
        <v>0.119801643542698</v>
      </c>
      <c r="BI7" s="5">
        <v>0.1825</v>
      </c>
      <c r="BJ7" s="5">
        <v>0.22170000000000001</v>
      </c>
      <c r="BK7" s="4">
        <v>6.3679752352033478E-2</v>
      </c>
      <c r="BL7" s="5">
        <v>0.18965000000000001</v>
      </c>
      <c r="BM7" s="5">
        <v>0.1426</v>
      </c>
      <c r="BN7" s="4">
        <v>4.9795920856262187E-2</v>
      </c>
      <c r="BO7" s="6">
        <v>-2.4750000000000001E-2</v>
      </c>
      <c r="BP7" s="5">
        <v>0.18490000000000001</v>
      </c>
      <c r="BQ7" s="4">
        <v>7.1608588370053405E-2</v>
      </c>
      <c r="BR7" s="5">
        <v>0.31595000000000001</v>
      </c>
      <c r="BS7" s="5">
        <v>0.34020000000000011</v>
      </c>
    </row>
    <row r="8" spans="1:86" x14ac:dyDescent="0.2">
      <c r="A8" s="2">
        <v>44606</v>
      </c>
      <c r="B8" t="s">
        <v>86</v>
      </c>
      <c r="C8" s="4">
        <v>1.1900000000000001E-2</v>
      </c>
      <c r="D8" s="4">
        <v>4.2799999999999998E-2</v>
      </c>
      <c r="E8" t="s">
        <v>87</v>
      </c>
      <c r="F8" t="s">
        <v>87</v>
      </c>
      <c r="G8" s="6">
        <v>-4.0899999999999999E-2</v>
      </c>
      <c r="H8" s="6">
        <v>-2.8500000000000001E-2</v>
      </c>
      <c r="I8" s="6">
        <v>-0.15709999999999999</v>
      </c>
      <c r="J8" s="5">
        <v>5.0199999999999988E-2</v>
      </c>
      <c r="K8" s="5">
        <v>8.4000000000000005E-2</v>
      </c>
      <c r="L8" s="5">
        <v>0.1507</v>
      </c>
      <c r="M8" s="5">
        <v>0.1716</v>
      </c>
      <c r="N8" s="6">
        <v>-0.1138</v>
      </c>
      <c r="O8" s="4">
        <v>1.2185511339830139E-2</v>
      </c>
      <c r="P8" s="6">
        <v>-0.2147</v>
      </c>
      <c r="Q8" s="6">
        <v>-0.13789999999999999</v>
      </c>
      <c r="S8" s="6">
        <v>-8.0100000000000005E-2</v>
      </c>
      <c r="T8" s="5">
        <v>7.8600000000000003E-2</v>
      </c>
      <c r="V8" s="6">
        <v>-4.3099999999999999E-2</v>
      </c>
      <c r="W8" s="6">
        <v>-0.11269999999999999</v>
      </c>
      <c r="Y8" s="5">
        <v>6.9999999999999993E-3</v>
      </c>
      <c r="Z8" s="5">
        <v>0.17</v>
      </c>
      <c r="AA8" s="4">
        <v>1.7018554613246389E-2</v>
      </c>
      <c r="AB8" s="5">
        <v>4.3499999999999997E-2</v>
      </c>
      <c r="AC8" s="6">
        <v>-3.0000000000000001E-3</v>
      </c>
      <c r="AD8" s="4">
        <v>1.9830561513299611E-2</v>
      </c>
      <c r="AE8" s="5">
        <v>5.8299999999999998E-2</v>
      </c>
      <c r="AF8" s="5">
        <v>0.1946</v>
      </c>
      <c r="AG8" s="4">
        <v>1.5687019013901161E-2</v>
      </c>
      <c r="AH8" s="5">
        <v>0.1321</v>
      </c>
      <c r="AI8" s="5">
        <v>6.9199999999999998E-2</v>
      </c>
      <c r="AK8" s="5">
        <v>6.1799999999999987E-2</v>
      </c>
      <c r="AL8" s="5">
        <v>0.26960000000000001</v>
      </c>
      <c r="AM8" s="4">
        <v>4.1179589733099729E-2</v>
      </c>
      <c r="AN8" s="5">
        <v>0.56340000000000001</v>
      </c>
      <c r="AO8" s="5">
        <v>0.15049999999999999</v>
      </c>
      <c r="AP8" s="4">
        <v>3.1222833796893359E-2</v>
      </c>
      <c r="AQ8" s="6">
        <v>-0.2137</v>
      </c>
      <c r="AR8" s="5">
        <v>1.06E-2</v>
      </c>
      <c r="AS8" s="4">
        <v>1.020683173145912E-2</v>
      </c>
      <c r="AT8" s="6">
        <v>-1.11E-2</v>
      </c>
      <c r="AU8" s="5">
        <v>4.99E-2</v>
      </c>
      <c r="AV8" s="4">
        <v>4.4336326359926126E-3</v>
      </c>
      <c r="AW8" s="5">
        <v>4.6999999999999993E-3</v>
      </c>
      <c r="AX8" s="5">
        <v>2.2200000000000001E-2</v>
      </c>
      <c r="AY8" s="4">
        <v>2.3471941842505919E-2</v>
      </c>
      <c r="AZ8" s="6">
        <v>-3.9600000000000003E-2</v>
      </c>
      <c r="BA8" s="6">
        <v>-2.1600000000000001E-2</v>
      </c>
      <c r="BB8" s="4">
        <v>2.4104406472204298E-3</v>
      </c>
      <c r="BC8" s="5">
        <v>0.31390000000000001</v>
      </c>
      <c r="BD8" s="5">
        <v>0.22170000000000001</v>
      </c>
      <c r="BE8" s="4">
        <v>2.3623488022934729E-2</v>
      </c>
      <c r="BF8" s="5">
        <v>0.97129999999999994</v>
      </c>
      <c r="BG8" s="5">
        <v>0.1426</v>
      </c>
      <c r="BH8" s="4">
        <v>2.5770479406663108E-2</v>
      </c>
      <c r="BI8" s="5">
        <v>0.62029999999999996</v>
      </c>
      <c r="BJ8" s="5">
        <v>0.18490000000000001</v>
      </c>
      <c r="BK8" s="4">
        <v>5.1357884567679292E-2</v>
      </c>
      <c r="BL8" s="5">
        <v>0.70550000000000002</v>
      </c>
      <c r="BM8" s="5">
        <v>0.34020000000000011</v>
      </c>
    </row>
    <row r="9" spans="1:86" x14ac:dyDescent="0.2">
      <c r="A9" s="2">
        <v>44606</v>
      </c>
      <c r="B9" t="s">
        <v>92</v>
      </c>
      <c r="C9" s="4">
        <v>0</v>
      </c>
      <c r="D9" s="4">
        <v>6.7000000000000004E-2</v>
      </c>
      <c r="E9" t="s">
        <v>93</v>
      </c>
      <c r="F9" t="s">
        <v>93</v>
      </c>
      <c r="G9" s="6">
        <v>-8.3699999999999997E-2</v>
      </c>
      <c r="H9" s="6">
        <v>-2.8500000000000001E-2</v>
      </c>
      <c r="I9" s="6">
        <v>-5.4000000000000013E-2</v>
      </c>
      <c r="J9" s="5">
        <v>5.0199999999999988E-2</v>
      </c>
      <c r="K9" s="6">
        <v>-5.2400000000000002E-2</v>
      </c>
      <c r="L9" s="5">
        <v>0.1507</v>
      </c>
      <c r="M9" s="6">
        <v>-4.7199999999999999E-2</v>
      </c>
      <c r="N9" s="6">
        <v>-0.1138</v>
      </c>
      <c r="P9" s="6">
        <v>-8.7400000000000005E-2</v>
      </c>
      <c r="Q9" s="6">
        <v>-0.13789999999999999</v>
      </c>
      <c r="S9" s="6">
        <v>-0.1479</v>
      </c>
      <c r="T9" s="5">
        <v>7.8600000000000003E-2</v>
      </c>
      <c r="V9" s="6">
        <v>-0.15359999999999999</v>
      </c>
      <c r="W9" s="6">
        <v>-0.11269999999999999</v>
      </c>
      <c r="Y9" s="6">
        <v>-4.4800000000000013E-2</v>
      </c>
      <c r="Z9" s="5">
        <v>0.17</v>
      </c>
      <c r="AB9" s="5">
        <v>4.4800000000000013E-2</v>
      </c>
      <c r="AC9" s="6">
        <v>-3.0000000000000001E-3</v>
      </c>
      <c r="AE9" s="5">
        <v>0.2016</v>
      </c>
      <c r="AF9" s="5">
        <v>0.1946</v>
      </c>
      <c r="AH9" s="5">
        <v>0.1082</v>
      </c>
      <c r="AI9" s="5">
        <v>6.9199999999999998E-2</v>
      </c>
      <c r="AK9" s="5">
        <v>0.1246</v>
      </c>
      <c r="AL9" s="5">
        <v>0.26960000000000001</v>
      </c>
      <c r="AN9" s="6">
        <v>-0.28949999999999998</v>
      </c>
      <c r="AO9" s="5">
        <v>0.15049999999999999</v>
      </c>
      <c r="AQ9" s="6">
        <v>-0.3589</v>
      </c>
      <c r="AR9" s="5">
        <v>1.06E-2</v>
      </c>
      <c r="AT9" s="5">
        <v>0.25650000000000001</v>
      </c>
      <c r="AU9" s="5">
        <v>4.99E-2</v>
      </c>
      <c r="AW9" s="6">
        <v>-5.7099999999999998E-2</v>
      </c>
      <c r="AX9" s="5">
        <v>2.2200000000000001E-2</v>
      </c>
      <c r="AZ9" s="6">
        <v>-8.6899999999999991E-2</v>
      </c>
      <c r="BA9" s="6">
        <v>-2.1600000000000001E-2</v>
      </c>
      <c r="BC9" s="5">
        <v>0.1072</v>
      </c>
      <c r="BD9" s="5">
        <v>0.22170000000000001</v>
      </c>
      <c r="BE9" s="4">
        <v>1.7060410156834939E-2</v>
      </c>
      <c r="BF9" s="5">
        <v>0.48870000000000002</v>
      </c>
      <c r="BG9" s="5">
        <v>0.1426</v>
      </c>
      <c r="BH9" s="4">
        <v>2.1820623343951741E-3</v>
      </c>
      <c r="BI9" s="5">
        <v>0.30009999999999998</v>
      </c>
      <c r="BJ9" s="5">
        <v>0.18490000000000001</v>
      </c>
      <c r="BK9" s="4">
        <v>5.7678323794157884E-3</v>
      </c>
      <c r="BL9" s="5">
        <v>1.3424</v>
      </c>
      <c r="BM9" s="5">
        <v>0.34020000000000011</v>
      </c>
    </row>
    <row r="10" spans="1:86" x14ac:dyDescent="0.2">
      <c r="A10" s="2">
        <v>44788</v>
      </c>
      <c r="B10" t="s">
        <v>88</v>
      </c>
      <c r="C10" s="4">
        <v>1.67E-2</v>
      </c>
      <c r="D10" s="4">
        <v>2.7300000000000001E-2</v>
      </c>
      <c r="E10" t="s">
        <v>89</v>
      </c>
      <c r="F10" t="s">
        <v>89</v>
      </c>
      <c r="G10" s="5">
        <v>0.47689999999999999</v>
      </c>
      <c r="H10" s="5">
        <v>0.1507</v>
      </c>
      <c r="I10" s="6">
        <v>-0.1358</v>
      </c>
      <c r="J10" s="6">
        <v>-0.1138</v>
      </c>
      <c r="K10" s="6">
        <v>-0.1729</v>
      </c>
      <c r="L10" s="6">
        <v>-0.13789999999999999</v>
      </c>
      <c r="M10" s="5">
        <v>0.28110000000000002</v>
      </c>
      <c r="N10" s="5">
        <v>7.8600000000000003E-2</v>
      </c>
      <c r="O10" s="4">
        <v>1.254464170675283E-2</v>
      </c>
      <c r="P10" s="6">
        <v>-0.38269999999999998</v>
      </c>
      <c r="Q10" s="6">
        <v>-0.11269999999999999</v>
      </c>
      <c r="R10" s="4">
        <v>3.2732179822236217E-2</v>
      </c>
      <c r="S10" s="5">
        <v>9.5799999999999996E-2</v>
      </c>
      <c r="T10" s="5">
        <v>0.17</v>
      </c>
      <c r="U10" s="4">
        <v>2.9324630661878119E-2</v>
      </c>
      <c r="V10" s="6">
        <v>-0.20499999999999999</v>
      </c>
      <c r="W10" s="6">
        <v>-3.0000000000000001E-3</v>
      </c>
      <c r="X10" s="4">
        <v>1.2525033264617151E-2</v>
      </c>
      <c r="Y10" s="5">
        <v>0.44130000000000003</v>
      </c>
      <c r="Z10" s="5">
        <v>0.1946</v>
      </c>
      <c r="AA10" s="4">
        <v>1.6601993425082909E-2</v>
      </c>
      <c r="AB10" s="6">
        <v>-9.7999999999999997E-3</v>
      </c>
      <c r="AC10" s="5">
        <v>6.9199999999999998E-2</v>
      </c>
      <c r="AD10" s="4">
        <v>4.56240140890872E-2</v>
      </c>
      <c r="AE10" s="6">
        <v>-0.2051</v>
      </c>
      <c r="AF10" s="5">
        <v>0.26960000000000001</v>
      </c>
      <c r="AG10" s="4">
        <v>6.1018255938160154E-3</v>
      </c>
      <c r="AH10" s="6">
        <v>-7.8E-2</v>
      </c>
      <c r="AI10" s="5">
        <v>0.15049999999999999</v>
      </c>
      <c r="AJ10" s="4">
        <v>4.5409610047526881E-2</v>
      </c>
      <c r="AK10" s="5">
        <v>0.15740000000000001</v>
      </c>
      <c r="AL10" s="5">
        <v>1.06E-2</v>
      </c>
      <c r="AM10" s="4">
        <v>3.7907198144210653E-2</v>
      </c>
      <c r="AN10" s="5">
        <v>0.54520000000000002</v>
      </c>
      <c r="AO10" s="5">
        <v>4.99E-2</v>
      </c>
      <c r="AP10" s="4">
        <v>2.7297139910017771E-2</v>
      </c>
      <c r="AQ10" s="5">
        <v>0.14349999999999999</v>
      </c>
      <c r="AR10" s="5">
        <v>2.2200000000000001E-2</v>
      </c>
      <c r="AS10" s="4">
        <v>1.5384179959665151E-2</v>
      </c>
      <c r="AT10" s="6">
        <v>-3.6600000000000001E-2</v>
      </c>
      <c r="AU10" s="6">
        <v>-2.1600000000000001E-2</v>
      </c>
      <c r="AV10" s="4">
        <v>2.8374967882395321E-2</v>
      </c>
      <c r="AW10" s="6">
        <v>-2.1100000000000001E-2</v>
      </c>
      <c r="AX10" s="5">
        <v>0.22170000000000001</v>
      </c>
      <c r="AY10" s="4">
        <v>1.7890439588961419E-2</v>
      </c>
      <c r="AZ10" s="5">
        <v>0.2049</v>
      </c>
      <c r="BA10" s="5">
        <v>0.1426</v>
      </c>
      <c r="BB10" s="4">
        <v>1.022339404412529E-2</v>
      </c>
      <c r="BC10" s="5">
        <v>1.55E-2</v>
      </c>
      <c r="BD10" s="5">
        <v>0.18490000000000001</v>
      </c>
      <c r="BE10" s="4">
        <v>1.492254751988994E-2</v>
      </c>
      <c r="BF10" s="6">
        <v>-1.6000000000000001E-3</v>
      </c>
      <c r="BG10" s="5">
        <v>0.34020000000000011</v>
      </c>
    </row>
    <row r="11" spans="1:86" x14ac:dyDescent="0.2">
      <c r="A11" s="2">
        <v>44879</v>
      </c>
      <c r="B11" t="s">
        <v>82</v>
      </c>
      <c r="C11" s="4">
        <v>0</v>
      </c>
      <c r="D11" s="4">
        <v>7.2000000000000008E-2</v>
      </c>
      <c r="E11" t="s">
        <v>158</v>
      </c>
      <c r="F11" t="s">
        <v>158</v>
      </c>
      <c r="G11" s="6">
        <v>-0.14505000000000001</v>
      </c>
      <c r="H11" s="6">
        <v>-0.1138</v>
      </c>
      <c r="I11" s="6">
        <v>-0.1797</v>
      </c>
      <c r="J11" s="6">
        <v>-0.13789999999999999</v>
      </c>
      <c r="K11" s="5">
        <v>3.8850000000000003E-2</v>
      </c>
      <c r="L11" s="5">
        <v>7.8600000000000003E-2</v>
      </c>
      <c r="M11" s="6">
        <v>-0.24660000000000001</v>
      </c>
      <c r="N11" s="6">
        <v>-0.11269999999999999</v>
      </c>
      <c r="O11" s="4">
        <v>0.17611366548133389</v>
      </c>
      <c r="P11" s="5">
        <v>0.13225000000000001</v>
      </c>
      <c r="Q11" s="5">
        <v>0.17</v>
      </c>
      <c r="R11" s="4">
        <v>0.1845353142315527</v>
      </c>
      <c r="S11" s="5">
        <v>1.2800000000000001E-2</v>
      </c>
      <c r="T11" s="6">
        <v>-3.0000000000000001E-3</v>
      </c>
      <c r="U11" s="4">
        <v>5.97387260425499E-2</v>
      </c>
      <c r="V11" s="5">
        <v>0.28355000000000002</v>
      </c>
      <c r="W11" s="5">
        <v>0.1946</v>
      </c>
      <c r="X11" s="4">
        <v>0.11503127978022901</v>
      </c>
      <c r="Y11" s="5">
        <v>1.4449999999999999E-2</v>
      </c>
      <c r="Z11" s="5">
        <v>6.9199999999999998E-2</v>
      </c>
      <c r="AA11" s="4">
        <v>6.844211211829733E-2</v>
      </c>
      <c r="AB11" s="5">
        <v>0.35060000000000002</v>
      </c>
      <c r="AC11" s="5">
        <v>0.26960000000000001</v>
      </c>
      <c r="AD11" s="4">
        <v>0.109337027069424</v>
      </c>
      <c r="AE11" s="6">
        <v>-4.4200000000000003E-2</v>
      </c>
      <c r="AF11" s="5">
        <v>0.15049999999999999</v>
      </c>
      <c r="AG11" s="4">
        <v>0.1128971115587665</v>
      </c>
      <c r="AH11" s="6">
        <v>-0.1042</v>
      </c>
      <c r="AI11" s="5">
        <v>1.06E-2</v>
      </c>
      <c r="AJ11" s="4">
        <v>8.6224359728782257E-2</v>
      </c>
      <c r="AK11" s="5">
        <v>0.20469999999999999</v>
      </c>
      <c r="AL11" s="5">
        <v>4.99E-2</v>
      </c>
      <c r="AM11" s="4">
        <v>7.381599107760152E-2</v>
      </c>
      <c r="AN11" s="6">
        <v>-5.2500000000000038E-3</v>
      </c>
      <c r="AO11" s="5">
        <v>2.2200000000000001E-2</v>
      </c>
      <c r="AP11" s="4">
        <v>0.1013087542009377</v>
      </c>
      <c r="AQ11" s="6">
        <v>-0.18525</v>
      </c>
      <c r="AR11" s="6">
        <v>-2.1600000000000001E-2</v>
      </c>
      <c r="AS11" s="4">
        <v>9.8614570946374353E-2</v>
      </c>
      <c r="AT11" s="5">
        <v>0.39345000000000002</v>
      </c>
      <c r="AU11" s="5">
        <v>0.22170000000000001</v>
      </c>
      <c r="AV11" s="4">
        <v>3.1576561889427472E-2</v>
      </c>
      <c r="AW11" s="5">
        <v>0.22925000000000001</v>
      </c>
      <c r="AX11" s="5">
        <v>0.1426</v>
      </c>
      <c r="AY11" s="4">
        <v>4.3875282273435567E-2</v>
      </c>
      <c r="AZ11" s="6">
        <v>-0.1313</v>
      </c>
      <c r="BA11" s="5">
        <v>0.18490000000000001</v>
      </c>
      <c r="BB11" s="4">
        <v>4.3531750318210702E-2</v>
      </c>
      <c r="BC11" s="5">
        <v>1.1061000000000001</v>
      </c>
      <c r="BD11" s="5">
        <v>0.34020000000000011</v>
      </c>
    </row>
    <row r="12" spans="1:86" x14ac:dyDescent="0.2">
      <c r="A12" s="2">
        <v>44879</v>
      </c>
      <c r="B12" t="s">
        <v>94</v>
      </c>
      <c r="C12" s="4">
        <v>0</v>
      </c>
      <c r="D12" s="4">
        <v>2.41E-2</v>
      </c>
      <c r="E12" t="s">
        <v>95</v>
      </c>
      <c r="F12" t="s">
        <v>95</v>
      </c>
      <c r="G12" s="6">
        <v>-6.7299999999999999E-2</v>
      </c>
      <c r="H12" s="6">
        <v>-0.1138</v>
      </c>
      <c r="I12" s="6">
        <v>-6.1000000000000004E-3</v>
      </c>
      <c r="J12" s="6">
        <v>-0.13789999999999999</v>
      </c>
      <c r="K12" s="5">
        <v>0.16370000000000001</v>
      </c>
      <c r="L12" s="5">
        <v>7.8600000000000003E-2</v>
      </c>
      <c r="M12" s="5">
        <v>2.6100000000000002E-2</v>
      </c>
      <c r="N12" s="6">
        <v>-0.11269999999999999</v>
      </c>
      <c r="O12" s="4">
        <v>3.9801663643990987E-2</v>
      </c>
      <c r="P12" s="5">
        <v>8.0000000000000002E-3</v>
      </c>
      <c r="Q12" s="5">
        <v>0.17</v>
      </c>
      <c r="R12" s="4">
        <v>5.6732914265015172E-2</v>
      </c>
      <c r="S12" s="6">
        <v>-0.24579999999999999</v>
      </c>
      <c r="T12" s="6">
        <v>-3.0000000000000001E-3</v>
      </c>
      <c r="U12" s="4">
        <v>7.4668595125609943E-2</v>
      </c>
      <c r="V12" s="5">
        <v>0.55120000000000002</v>
      </c>
      <c r="W12" s="5">
        <v>0.1946</v>
      </c>
      <c r="X12" s="4">
        <v>9.0735289196196417E-2</v>
      </c>
      <c r="Y12" s="5">
        <v>3.3300000000000003E-2</v>
      </c>
      <c r="Z12" s="5">
        <v>6.9199999999999998E-2</v>
      </c>
      <c r="AA12" s="4">
        <v>6.4351426917532081E-2</v>
      </c>
      <c r="AB12" s="5">
        <v>0.1207</v>
      </c>
      <c r="AC12" s="5">
        <v>0.26960000000000001</v>
      </c>
      <c r="AD12" s="4">
        <v>3.1903283198031762E-2</v>
      </c>
      <c r="AE12" s="5">
        <v>0.40439999999999998</v>
      </c>
      <c r="AF12" s="5">
        <v>0.15049999999999999</v>
      </c>
      <c r="AG12" s="4">
        <v>3.2441770782569393E-2</v>
      </c>
      <c r="AH12" s="5">
        <v>1.1900000000000001E-2</v>
      </c>
      <c r="AI12" s="5">
        <v>1.06E-2</v>
      </c>
      <c r="AK12" s="6">
        <v>-0.1736</v>
      </c>
      <c r="AL12" s="5">
        <v>4.99E-2</v>
      </c>
      <c r="AN12" s="5">
        <v>0.36059999999999998</v>
      </c>
      <c r="AO12" s="5">
        <v>2.2200000000000001E-2</v>
      </c>
      <c r="AQ12" s="6">
        <v>-0.1817</v>
      </c>
      <c r="AR12" s="6">
        <v>-2.1600000000000001E-2</v>
      </c>
      <c r="AS12" s="4">
        <v>5.6762295968588027E-2</v>
      </c>
      <c r="AT12" s="5">
        <v>4.2699999999999988E-2</v>
      </c>
      <c r="AU12" s="5">
        <v>0.22170000000000001</v>
      </c>
      <c r="AV12" s="4">
        <v>6.6894676836821945E-2</v>
      </c>
      <c r="AW12" s="5">
        <v>0.4622</v>
      </c>
      <c r="AX12" s="5">
        <v>0.1426</v>
      </c>
      <c r="AY12" s="4">
        <v>3.4208380191871682E-2</v>
      </c>
      <c r="AZ12" s="6">
        <v>-0.14069999999999999</v>
      </c>
      <c r="BA12" s="5">
        <v>0.18490000000000001</v>
      </c>
      <c r="BC12" s="5">
        <v>6.0299999999999999E-2</v>
      </c>
      <c r="BD12" s="5">
        <v>0.34020000000000011</v>
      </c>
    </row>
    <row r="13" spans="1:86" x14ac:dyDescent="0.2">
      <c r="A13" s="2">
        <v>44971</v>
      </c>
      <c r="B13" t="s">
        <v>88</v>
      </c>
      <c r="C13" s="4">
        <v>1.2500000000000001E-2</v>
      </c>
      <c r="D13" s="4">
        <v>3.27E-2</v>
      </c>
      <c r="E13" t="s">
        <v>89</v>
      </c>
      <c r="F13" t="s">
        <v>89</v>
      </c>
      <c r="G13" s="6">
        <v>-0.1729</v>
      </c>
      <c r="H13" s="6">
        <v>-0.13789999999999999</v>
      </c>
      <c r="I13" s="5">
        <v>0.28110000000000002</v>
      </c>
      <c r="J13" s="5">
        <v>7.8600000000000003E-2</v>
      </c>
      <c r="K13" s="6">
        <v>-0.38269999999999998</v>
      </c>
      <c r="L13" s="6">
        <v>-0.11269999999999999</v>
      </c>
      <c r="M13" s="5">
        <v>9.5799999999999996E-2</v>
      </c>
      <c r="N13" s="5">
        <v>0.17</v>
      </c>
      <c r="O13" s="4">
        <v>2.9324630661878119E-2</v>
      </c>
      <c r="P13" s="6">
        <v>-0.20499999999999999</v>
      </c>
      <c r="Q13" s="6">
        <v>-3.0000000000000001E-3</v>
      </c>
      <c r="R13" s="4">
        <v>1.2525033264617151E-2</v>
      </c>
      <c r="S13" s="5">
        <v>0.44130000000000003</v>
      </c>
      <c r="T13" s="5">
        <v>0.1946</v>
      </c>
      <c r="U13" s="4">
        <v>1.6601993425082909E-2</v>
      </c>
      <c r="V13" s="6">
        <v>-9.7999999999999997E-3</v>
      </c>
      <c r="W13" s="5">
        <v>6.9199999999999998E-2</v>
      </c>
      <c r="X13" s="4">
        <v>4.56240140890872E-2</v>
      </c>
      <c r="Y13" s="6">
        <v>-0.2051</v>
      </c>
      <c r="Z13" s="5">
        <v>0.26960000000000001</v>
      </c>
      <c r="AA13" s="4">
        <v>6.1018255938160154E-3</v>
      </c>
      <c r="AB13" s="6">
        <v>-7.8E-2</v>
      </c>
      <c r="AC13" s="5">
        <v>0.15049999999999999</v>
      </c>
      <c r="AD13" s="4">
        <v>4.5409610047526881E-2</v>
      </c>
      <c r="AE13" s="5">
        <v>0.15740000000000001</v>
      </c>
      <c r="AF13" s="5">
        <v>1.06E-2</v>
      </c>
      <c r="AG13" s="4">
        <v>3.7907198144210653E-2</v>
      </c>
      <c r="AH13" s="5">
        <v>0.54520000000000002</v>
      </c>
      <c r="AI13" s="5">
        <v>4.99E-2</v>
      </c>
      <c r="AJ13" s="4">
        <v>2.7297139910017771E-2</v>
      </c>
      <c r="AK13" s="5">
        <v>0.14349999999999999</v>
      </c>
      <c r="AL13" s="5">
        <v>2.2200000000000001E-2</v>
      </c>
      <c r="AM13" s="4">
        <v>1.5384179959665151E-2</v>
      </c>
      <c r="AN13" s="6">
        <v>-3.6600000000000001E-2</v>
      </c>
      <c r="AO13" s="6">
        <v>-2.1600000000000001E-2</v>
      </c>
      <c r="AP13" s="4">
        <v>2.8374967882395321E-2</v>
      </c>
      <c r="AQ13" s="6">
        <v>-2.1100000000000001E-2</v>
      </c>
      <c r="AR13" s="5">
        <v>0.22170000000000001</v>
      </c>
      <c r="AS13" s="4">
        <v>1.7890439588961419E-2</v>
      </c>
      <c r="AT13" s="5">
        <v>0.2049</v>
      </c>
      <c r="AU13" s="5">
        <v>0.1426</v>
      </c>
      <c r="AV13" s="4">
        <v>1.022339404412529E-2</v>
      </c>
      <c r="AW13" s="5">
        <v>1.55E-2</v>
      </c>
      <c r="AX13" s="5">
        <v>0.18490000000000001</v>
      </c>
      <c r="AY13" s="4">
        <v>1.492254751988994E-2</v>
      </c>
      <c r="AZ13" s="6">
        <v>-1.6000000000000001E-3</v>
      </c>
      <c r="BA13" s="5">
        <v>0.34020000000000011</v>
      </c>
    </row>
    <row r="14" spans="1:86" x14ac:dyDescent="0.2">
      <c r="A14" s="2">
        <v>45244</v>
      </c>
      <c r="B14" t="s">
        <v>98</v>
      </c>
      <c r="C14" s="4">
        <v>0</v>
      </c>
      <c r="D14" s="4">
        <v>2.7400000000000001E-2</v>
      </c>
      <c r="E14" t="s">
        <v>99</v>
      </c>
      <c r="F14" t="s">
        <v>99</v>
      </c>
      <c r="G14" s="5">
        <v>0.13439999999999999</v>
      </c>
      <c r="H14" s="5">
        <v>0.17</v>
      </c>
      <c r="I14" s="6">
        <v>-0.22289999999999999</v>
      </c>
      <c r="J14" s="6">
        <v>-3.0000000000000001E-3</v>
      </c>
      <c r="K14" s="5">
        <v>0.30085000000000001</v>
      </c>
      <c r="L14" s="5">
        <v>0.1946</v>
      </c>
      <c r="M14" s="6">
        <v>-8.5000000000000006E-2</v>
      </c>
      <c r="N14" s="5">
        <v>6.9199999999999998E-2</v>
      </c>
      <c r="O14" s="4">
        <v>4.5725616554712793E-2</v>
      </c>
      <c r="P14" s="5">
        <v>0.50329999999999997</v>
      </c>
      <c r="Q14" s="5">
        <v>0.26960000000000001</v>
      </c>
      <c r="R14" s="4">
        <v>4.8878099681026882E-2</v>
      </c>
      <c r="S14" s="6">
        <v>-0.11</v>
      </c>
      <c r="T14" s="5">
        <v>0.15049999999999999</v>
      </c>
      <c r="U14" s="4">
        <v>7.839892430631791E-2</v>
      </c>
      <c r="V14" s="5">
        <v>9.4E-2</v>
      </c>
      <c r="W14" s="5">
        <v>1.06E-2</v>
      </c>
      <c r="X14" s="4">
        <v>6.208710352041516E-2</v>
      </c>
      <c r="Y14" s="5">
        <v>0.44355000000000011</v>
      </c>
      <c r="Z14" s="5">
        <v>4.99E-2</v>
      </c>
      <c r="AA14" s="4">
        <v>3.3658632647477413E-2</v>
      </c>
      <c r="AB14" s="5">
        <v>7.7699999999999991E-2</v>
      </c>
      <c r="AC14" s="5">
        <v>2.2200000000000001E-2</v>
      </c>
      <c r="AD14" s="4">
        <v>3.5489012644823688E-2</v>
      </c>
      <c r="AE14" s="6">
        <v>-0.10165</v>
      </c>
      <c r="AF14" s="6">
        <v>-2.1600000000000001E-2</v>
      </c>
      <c r="AG14" s="4">
        <v>7.4862380888199687E-2</v>
      </c>
      <c r="AH14" s="5">
        <v>0.1542</v>
      </c>
      <c r="AI14" s="5">
        <v>0.22170000000000001</v>
      </c>
      <c r="AJ14" s="4">
        <v>7.9727047634197579E-2</v>
      </c>
      <c r="AK14" s="5">
        <v>0.80859999999999999</v>
      </c>
      <c r="AL14" s="5">
        <v>0.1426</v>
      </c>
      <c r="AM14" s="4">
        <v>8.591718363738611E-2</v>
      </c>
      <c r="AN14" s="5">
        <v>0.57784999999999997</v>
      </c>
      <c r="AO14" s="5">
        <v>0.18490000000000001</v>
      </c>
      <c r="AP14" s="4">
        <v>0.1201502682787316</v>
      </c>
      <c r="AQ14" s="5">
        <v>0.69224999999999992</v>
      </c>
      <c r="AR14" s="5">
        <v>0.34020000000000011</v>
      </c>
    </row>
    <row r="15" spans="1:86" x14ac:dyDescent="0.2">
      <c r="A15" s="2">
        <v>45336</v>
      </c>
      <c r="B15" t="s">
        <v>88</v>
      </c>
      <c r="C15" s="4">
        <v>1.66E-2</v>
      </c>
      <c r="D15" s="4">
        <v>4.5599999999999988E-2</v>
      </c>
      <c r="E15" t="s">
        <v>89</v>
      </c>
      <c r="F15" t="s">
        <v>89</v>
      </c>
      <c r="G15" s="6">
        <v>-0.20499999999999999</v>
      </c>
      <c r="H15" s="6">
        <v>-3.0000000000000001E-3</v>
      </c>
      <c r="I15" s="5">
        <v>0.44130000000000003</v>
      </c>
      <c r="J15" s="5">
        <v>0.1946</v>
      </c>
      <c r="K15" s="6">
        <v>-9.7999999999999997E-3</v>
      </c>
      <c r="L15" s="5">
        <v>6.9199999999999998E-2</v>
      </c>
      <c r="M15" s="6">
        <v>-0.2051</v>
      </c>
      <c r="N15" s="5">
        <v>0.26960000000000001</v>
      </c>
      <c r="O15" s="4">
        <v>6.1018255938160154E-3</v>
      </c>
      <c r="P15" s="6">
        <v>-7.8E-2</v>
      </c>
      <c r="Q15" s="5">
        <v>0.15049999999999999</v>
      </c>
      <c r="R15" s="4">
        <v>4.5409610047526881E-2</v>
      </c>
      <c r="S15" s="5">
        <v>0.15740000000000001</v>
      </c>
      <c r="T15" s="5">
        <v>1.06E-2</v>
      </c>
      <c r="U15" s="4">
        <v>3.7907198144210653E-2</v>
      </c>
      <c r="V15" s="5">
        <v>0.54520000000000002</v>
      </c>
      <c r="W15" s="5">
        <v>4.99E-2</v>
      </c>
      <c r="X15" s="4">
        <v>2.7297139910017771E-2</v>
      </c>
      <c r="Y15" s="5">
        <v>0.14349999999999999</v>
      </c>
      <c r="Z15" s="5">
        <v>2.2200000000000001E-2</v>
      </c>
      <c r="AA15" s="4">
        <v>1.5384179959665151E-2</v>
      </c>
      <c r="AB15" s="6">
        <v>-3.6600000000000001E-2</v>
      </c>
      <c r="AC15" s="6">
        <v>-2.1600000000000001E-2</v>
      </c>
      <c r="AD15" s="4">
        <v>2.8374967882395321E-2</v>
      </c>
      <c r="AE15" s="6">
        <v>-2.1100000000000001E-2</v>
      </c>
      <c r="AF15" s="5">
        <v>0.22170000000000001</v>
      </c>
      <c r="AG15" s="4">
        <v>1.7890439588961419E-2</v>
      </c>
      <c r="AH15" s="5">
        <v>0.2049</v>
      </c>
      <c r="AI15" s="5">
        <v>0.1426</v>
      </c>
      <c r="AJ15" s="4">
        <v>1.022339404412529E-2</v>
      </c>
      <c r="AK15" s="5">
        <v>1.55E-2</v>
      </c>
      <c r="AL15" s="5">
        <v>0.18490000000000001</v>
      </c>
      <c r="AM15" s="4">
        <v>1.492254751988994E-2</v>
      </c>
      <c r="AN15" s="6">
        <v>-1.6000000000000001E-3</v>
      </c>
      <c r="AO15" s="5">
        <v>0.34020000000000011</v>
      </c>
    </row>
    <row r="16" spans="1:86" x14ac:dyDescent="0.2">
      <c r="A16" s="2">
        <v>45427</v>
      </c>
      <c r="B16" t="s">
        <v>102</v>
      </c>
      <c r="C16" s="4">
        <v>0</v>
      </c>
      <c r="D16" s="4">
        <v>2.4E-2</v>
      </c>
      <c r="E16" t="s">
        <v>103</v>
      </c>
      <c r="F16" t="s">
        <v>103</v>
      </c>
      <c r="G16" s="5">
        <v>0.31950000000000001</v>
      </c>
      <c r="H16" s="5">
        <v>0.1946</v>
      </c>
      <c r="I16" s="5">
        <v>9.1499999999999998E-2</v>
      </c>
      <c r="J16" s="5">
        <v>6.9199999999999998E-2</v>
      </c>
      <c r="K16" s="5">
        <v>0.22309999999999999</v>
      </c>
      <c r="L16" s="5">
        <v>0.26960000000000001</v>
      </c>
      <c r="M16" s="6">
        <v>-0.2261</v>
      </c>
      <c r="N16" s="5">
        <v>0.15049999999999999</v>
      </c>
      <c r="P16" s="6">
        <v>-0.35339999999999999</v>
      </c>
      <c r="Q16" s="5">
        <v>1.06E-2</v>
      </c>
      <c r="S16" s="5">
        <v>0.1978</v>
      </c>
      <c r="T16" s="5">
        <v>4.99E-2</v>
      </c>
      <c r="U16" s="4">
        <v>4.3523737602483993E-2</v>
      </c>
      <c r="V16" s="6">
        <v>-6.7000000000000002E-3</v>
      </c>
      <c r="W16" s="5">
        <v>2.2200000000000001E-2</v>
      </c>
      <c r="X16" s="4">
        <v>3.6854782705140712E-2</v>
      </c>
      <c r="Y16" s="6">
        <v>-0.34229999999999999</v>
      </c>
      <c r="Z16" s="6">
        <v>-2.1600000000000001E-2</v>
      </c>
      <c r="AA16" s="4">
        <v>3.2647712349549968E-2</v>
      </c>
      <c r="AB16" s="5">
        <v>7.2800000000000004E-2</v>
      </c>
      <c r="AC16" s="5">
        <v>0.22170000000000001</v>
      </c>
      <c r="AD16" s="4">
        <v>2.0625475610788691E-2</v>
      </c>
      <c r="AE16" s="5">
        <v>0.72540000000000004</v>
      </c>
      <c r="AF16" s="5">
        <v>0.1426</v>
      </c>
      <c r="AG16" s="4">
        <v>1.283299697477917E-2</v>
      </c>
      <c r="AH16" s="5">
        <v>5.0000000000000001E-3</v>
      </c>
      <c r="AI16" s="5">
        <v>0.18490000000000001</v>
      </c>
      <c r="AJ16" s="4">
        <v>4.3663705304359387E-3</v>
      </c>
      <c r="AK16" s="6">
        <v>-6.8699999999999997E-2</v>
      </c>
      <c r="AL16" s="5">
        <v>0.34020000000000011</v>
      </c>
    </row>
    <row r="17" spans="1:38" x14ac:dyDescent="0.2">
      <c r="A17" s="2">
        <v>45427</v>
      </c>
      <c r="B17" t="s">
        <v>86</v>
      </c>
      <c r="C17" s="4">
        <v>0</v>
      </c>
      <c r="D17" s="4">
        <v>4.1200000000000001E-2</v>
      </c>
      <c r="E17" t="s">
        <v>87</v>
      </c>
      <c r="F17" t="s">
        <v>87</v>
      </c>
      <c r="G17" s="5">
        <v>5.8299999999999998E-2</v>
      </c>
      <c r="H17" s="5">
        <v>0.1946</v>
      </c>
      <c r="I17" s="5">
        <v>0.1321</v>
      </c>
      <c r="J17" s="5">
        <v>6.9199999999999998E-2</v>
      </c>
      <c r="K17" s="5">
        <v>6.1799999999999987E-2</v>
      </c>
      <c r="L17" s="5">
        <v>0.26960000000000001</v>
      </c>
      <c r="M17" s="5">
        <v>0.56340000000000001</v>
      </c>
      <c r="N17" s="5">
        <v>0.15049999999999999</v>
      </c>
      <c r="O17" s="4">
        <v>3.1222833796893359E-2</v>
      </c>
      <c r="P17" s="6">
        <v>-0.2137</v>
      </c>
      <c r="Q17" s="5">
        <v>1.06E-2</v>
      </c>
      <c r="R17" s="4">
        <v>1.020683173145912E-2</v>
      </c>
      <c r="S17" s="6">
        <v>-1.11E-2</v>
      </c>
      <c r="T17" s="5">
        <v>4.99E-2</v>
      </c>
      <c r="U17" s="4">
        <v>4.4336326359926126E-3</v>
      </c>
      <c r="V17" s="5">
        <v>4.6999999999999993E-3</v>
      </c>
      <c r="W17" s="5">
        <v>2.2200000000000001E-2</v>
      </c>
      <c r="X17" s="4">
        <v>2.3471941842505919E-2</v>
      </c>
      <c r="Y17" s="6">
        <v>-3.9600000000000003E-2</v>
      </c>
      <c r="Z17" s="6">
        <v>-2.1600000000000001E-2</v>
      </c>
      <c r="AA17" s="4">
        <v>2.4104406472204298E-3</v>
      </c>
      <c r="AB17" s="5">
        <v>0.31390000000000001</v>
      </c>
      <c r="AC17" s="5">
        <v>0.22170000000000001</v>
      </c>
      <c r="AD17" s="4">
        <v>2.3623488022934729E-2</v>
      </c>
      <c r="AE17" s="5">
        <v>0.97129999999999994</v>
      </c>
      <c r="AF17" s="5">
        <v>0.1426</v>
      </c>
      <c r="AG17" s="4">
        <v>2.5770479406663108E-2</v>
      </c>
      <c r="AH17" s="5">
        <v>0.62029999999999996</v>
      </c>
      <c r="AI17" s="5">
        <v>0.18490000000000001</v>
      </c>
      <c r="AJ17" s="4">
        <v>5.1357884567679292E-2</v>
      </c>
      <c r="AK17" s="5">
        <v>0.70550000000000002</v>
      </c>
      <c r="AL17" s="5">
        <v>0.34020000000000011</v>
      </c>
    </row>
    <row r="18" spans="1:38" x14ac:dyDescent="0.2">
      <c r="A18" s="2">
        <v>45427</v>
      </c>
      <c r="B18" t="s">
        <v>100</v>
      </c>
      <c r="C18" s="4">
        <v>0</v>
      </c>
      <c r="D18" s="4">
        <v>4.4900000000000002E-2</v>
      </c>
      <c r="E18" t="s">
        <v>101</v>
      </c>
      <c r="F18" t="s">
        <v>101</v>
      </c>
      <c r="H18" s="5">
        <v>0.1946</v>
      </c>
      <c r="J18" s="5">
        <v>6.9199999999999998E-2</v>
      </c>
      <c r="L18" s="5">
        <v>0.26960000000000001</v>
      </c>
      <c r="N18" s="5">
        <v>0.15049999999999999</v>
      </c>
      <c r="O18" s="4">
        <v>5.486190847349566E-2</v>
      </c>
      <c r="P18" s="6">
        <v>-0.49809999999999999</v>
      </c>
      <c r="Q18" s="5">
        <v>1.06E-2</v>
      </c>
      <c r="R18" s="4">
        <v>9.5618234344453198E-2</v>
      </c>
      <c r="S18" s="5">
        <v>1.2770999999999999</v>
      </c>
      <c r="T18" s="5">
        <v>4.99E-2</v>
      </c>
      <c r="U18" s="4">
        <v>5.3266797047628441E-2</v>
      </c>
      <c r="V18" s="6">
        <v>-7.1999999999999998E-3</v>
      </c>
      <c r="W18" s="5">
        <v>2.2200000000000001E-2</v>
      </c>
      <c r="X18" s="4">
        <v>8.4272662370772855E-2</v>
      </c>
      <c r="Y18" s="5">
        <v>4.9400000000000013E-2</v>
      </c>
      <c r="Z18" s="6">
        <v>-2.1600000000000001E-2</v>
      </c>
      <c r="AA18" s="4">
        <v>2.3956595450810539E-2</v>
      </c>
      <c r="AB18" s="5">
        <v>1.0684</v>
      </c>
      <c r="AC18" s="5">
        <v>0.22170000000000001</v>
      </c>
      <c r="AD18" s="4">
        <v>2.3661288585827742E-3</v>
      </c>
      <c r="AE18" s="6">
        <v>-0.24310000000000001</v>
      </c>
      <c r="AF18" s="5">
        <v>0.1426</v>
      </c>
      <c r="AG18" s="4">
        <v>3.2753294382213992E-2</v>
      </c>
      <c r="AH18" s="6">
        <v>-0.1431</v>
      </c>
      <c r="AI18" s="5">
        <v>0.18490000000000001</v>
      </c>
      <c r="AJ18" s="4">
        <v>7.3745628822782822E-2</v>
      </c>
      <c r="AK18" s="5">
        <v>0.74290000000000012</v>
      </c>
      <c r="AL18" s="5">
        <v>0.34020000000000011</v>
      </c>
    </row>
    <row r="19" spans="1:38" x14ac:dyDescent="0.2">
      <c r="A19" s="2">
        <v>45518</v>
      </c>
      <c r="B19" t="s">
        <v>96</v>
      </c>
      <c r="C19" s="4">
        <v>0</v>
      </c>
      <c r="D19" s="4">
        <v>4.1300000000000003E-2</v>
      </c>
      <c r="E19" t="s">
        <v>97</v>
      </c>
      <c r="F19" t="s">
        <v>97</v>
      </c>
      <c r="G19" s="6">
        <v>-6.0400000000000002E-2</v>
      </c>
      <c r="H19" s="5">
        <v>6.9199999999999998E-2</v>
      </c>
      <c r="I19" s="6">
        <v>-6.5199999999999994E-2</v>
      </c>
      <c r="J19" s="5">
        <v>0.26960000000000001</v>
      </c>
      <c r="K19" s="5">
        <v>0.1885</v>
      </c>
      <c r="L19" s="5">
        <v>0.15049999999999999</v>
      </c>
      <c r="M19" s="6">
        <v>-4.5999999999999999E-3</v>
      </c>
      <c r="N19" s="5">
        <v>1.06E-2</v>
      </c>
      <c r="O19" s="4">
        <v>2.1106098336254918E-3</v>
      </c>
      <c r="P19" s="5">
        <v>0.20880000000000001</v>
      </c>
      <c r="Q19" s="5">
        <v>4.99E-2</v>
      </c>
      <c r="R19" s="4">
        <v>6.7805410547985634E-3</v>
      </c>
      <c r="S19" s="5">
        <v>2.3699999999999999E-2</v>
      </c>
      <c r="T19" s="5">
        <v>2.2200000000000001E-2</v>
      </c>
      <c r="V19" s="6">
        <v>-0.18179999999999999</v>
      </c>
      <c r="W19" s="6">
        <v>-2.1600000000000001E-2</v>
      </c>
      <c r="Y19" s="5">
        <v>0.21879999999999999</v>
      </c>
      <c r="Z19" s="5">
        <v>0.22170000000000001</v>
      </c>
      <c r="AB19" s="5">
        <v>7.6499999999999999E-2</v>
      </c>
      <c r="AC19" s="5">
        <v>0.1426</v>
      </c>
      <c r="AE19" s="6">
        <v>-3.1899999999999998E-2</v>
      </c>
      <c r="AF19" s="5">
        <v>0.18490000000000001</v>
      </c>
      <c r="AH19" s="5">
        <v>0.51170000000000004</v>
      </c>
      <c r="AI19" s="5">
        <v>0.34020000000000011</v>
      </c>
    </row>
    <row r="20" spans="1:38" x14ac:dyDescent="0.2">
      <c r="A20" s="2">
        <v>45518</v>
      </c>
      <c r="B20" t="s">
        <v>88</v>
      </c>
      <c r="C20" s="4">
        <v>6.1000000000000004E-3</v>
      </c>
      <c r="D20" s="4">
        <v>4.5400000000000003E-2</v>
      </c>
      <c r="E20" t="s">
        <v>89</v>
      </c>
      <c r="F20" t="s">
        <v>89</v>
      </c>
      <c r="G20" s="6">
        <v>-9.7999999999999997E-3</v>
      </c>
      <c r="H20" s="5">
        <v>6.9199999999999998E-2</v>
      </c>
      <c r="I20" s="6">
        <v>-0.2051</v>
      </c>
      <c r="J20" s="5">
        <v>0.26960000000000001</v>
      </c>
      <c r="K20" s="6">
        <v>-7.8E-2</v>
      </c>
      <c r="L20" s="5">
        <v>0.15049999999999999</v>
      </c>
      <c r="M20" s="5">
        <v>0.15740000000000001</v>
      </c>
      <c r="N20" s="5">
        <v>1.06E-2</v>
      </c>
      <c r="O20" s="4">
        <v>3.7907198144210653E-2</v>
      </c>
      <c r="P20" s="5">
        <v>0.54520000000000002</v>
      </c>
      <c r="Q20" s="5">
        <v>4.99E-2</v>
      </c>
      <c r="R20" s="4">
        <v>2.7297139910017771E-2</v>
      </c>
      <c r="S20" s="5">
        <v>0.14349999999999999</v>
      </c>
      <c r="T20" s="5">
        <v>2.2200000000000001E-2</v>
      </c>
      <c r="U20" s="4">
        <v>1.5384179959665151E-2</v>
      </c>
      <c r="V20" s="6">
        <v>-3.6600000000000001E-2</v>
      </c>
      <c r="W20" s="6">
        <v>-2.1600000000000001E-2</v>
      </c>
      <c r="X20" s="4">
        <v>2.8374967882395321E-2</v>
      </c>
      <c r="Y20" s="6">
        <v>-2.1100000000000001E-2</v>
      </c>
      <c r="Z20" s="5">
        <v>0.22170000000000001</v>
      </c>
      <c r="AA20" s="4">
        <v>1.7890439588961419E-2</v>
      </c>
      <c r="AB20" s="5">
        <v>0.2049</v>
      </c>
      <c r="AC20" s="5">
        <v>0.1426</v>
      </c>
      <c r="AD20" s="4">
        <v>1.022339404412529E-2</v>
      </c>
      <c r="AE20" s="5">
        <v>1.55E-2</v>
      </c>
      <c r="AF20" s="5">
        <v>0.18490000000000001</v>
      </c>
      <c r="AG20" s="4">
        <v>1.492254751988994E-2</v>
      </c>
      <c r="AH20" s="6">
        <v>-1.6000000000000001E-3</v>
      </c>
      <c r="AI20" s="5">
        <v>0.34020000000000011</v>
      </c>
    </row>
    <row r="21" spans="1:38" x14ac:dyDescent="0.2">
      <c r="A21" s="2">
        <v>45702</v>
      </c>
      <c r="B21" t="s">
        <v>102</v>
      </c>
      <c r="C21" s="4">
        <v>0</v>
      </c>
      <c r="D21" s="4">
        <v>4.3499999999999997E-2</v>
      </c>
      <c r="E21" t="s">
        <v>160</v>
      </c>
      <c r="F21" t="s">
        <v>160</v>
      </c>
      <c r="G21" s="6">
        <v>-0.26479999999999998</v>
      </c>
      <c r="H21" s="5">
        <v>0.15049999999999999</v>
      </c>
      <c r="I21" s="6">
        <v>-0.28944999999999999</v>
      </c>
      <c r="J21" s="5">
        <v>1.06E-2</v>
      </c>
      <c r="K21" s="5">
        <v>0.10664999999999999</v>
      </c>
      <c r="L21" s="5">
        <v>4.99E-2</v>
      </c>
      <c r="M21" s="5">
        <v>0.22225</v>
      </c>
      <c r="N21" s="5">
        <v>2.2200000000000001E-2</v>
      </c>
      <c r="O21" s="4">
        <v>3.6854782705140712E-2</v>
      </c>
      <c r="P21" s="6">
        <v>-0.1835</v>
      </c>
      <c r="Q21" s="6">
        <v>-2.1600000000000001E-2</v>
      </c>
      <c r="R21" s="4">
        <v>3.2647712349549968E-2</v>
      </c>
      <c r="S21" s="5">
        <v>6.9000000000000006E-2</v>
      </c>
      <c r="T21" s="5">
        <v>0.22170000000000001</v>
      </c>
      <c r="U21" s="4">
        <v>2.0625475610788691E-2</v>
      </c>
      <c r="V21" s="5">
        <v>0.52205000000000001</v>
      </c>
      <c r="W21" s="5">
        <v>0.1426</v>
      </c>
      <c r="X21" s="4">
        <v>1.283299697477917E-2</v>
      </c>
      <c r="Y21" s="6">
        <v>-0.15295</v>
      </c>
      <c r="Z21" s="5">
        <v>0.18490000000000001</v>
      </c>
      <c r="AA21" s="4">
        <v>4.3663705304359387E-3</v>
      </c>
      <c r="AB21" s="6">
        <v>-7.0649999999999991E-2</v>
      </c>
      <c r="AC21" s="5">
        <v>0.34020000000000011</v>
      </c>
    </row>
    <row r="22" spans="1:38" x14ac:dyDescent="0.2">
      <c r="A22" s="2">
        <v>45792</v>
      </c>
      <c r="B22" t="s">
        <v>108</v>
      </c>
      <c r="C22" s="4">
        <v>0</v>
      </c>
      <c r="D22" s="4">
        <v>2.1100000000000001E-2</v>
      </c>
      <c r="E22" t="s">
        <v>109</v>
      </c>
      <c r="F22" t="s">
        <v>109</v>
      </c>
      <c r="H22" s="5">
        <v>1.06E-2</v>
      </c>
      <c r="J22" s="5">
        <v>4.99E-2</v>
      </c>
      <c r="L22" s="5">
        <v>2.2200000000000001E-2</v>
      </c>
      <c r="N22" s="6">
        <v>-2.1600000000000001E-2</v>
      </c>
      <c r="O22" s="4">
        <v>6.9937305867351389E-3</v>
      </c>
      <c r="P22" s="5">
        <v>0.51290000000000002</v>
      </c>
      <c r="Q22" s="5">
        <v>0.22170000000000001</v>
      </c>
      <c r="R22" s="4">
        <v>1.6765131467316671E-3</v>
      </c>
      <c r="S22" s="6">
        <v>-0.22259999999999999</v>
      </c>
      <c r="T22" s="5">
        <v>0.1426</v>
      </c>
      <c r="U22" s="4">
        <v>5.303753883822101E-3</v>
      </c>
      <c r="V22" s="5">
        <v>0.17630000000000001</v>
      </c>
      <c r="W22" s="5">
        <v>0.18490000000000001</v>
      </c>
      <c r="X22" s="4">
        <v>1.2552910328037769E-2</v>
      </c>
      <c r="Y22" s="5">
        <v>0.14030000000000001</v>
      </c>
      <c r="Z22" s="5">
        <v>0.34020000000000011</v>
      </c>
    </row>
    <row r="23" spans="1:38" x14ac:dyDescent="0.2">
      <c r="A23" s="2">
        <v>45792</v>
      </c>
      <c r="B23" t="s">
        <v>86</v>
      </c>
      <c r="C23" s="4">
        <v>4.4000000000000003E-3</v>
      </c>
      <c r="D23" s="4">
        <v>2.35E-2</v>
      </c>
      <c r="E23" t="s">
        <v>87</v>
      </c>
      <c r="F23" t="s">
        <v>87</v>
      </c>
      <c r="G23" s="6">
        <v>-0.2137</v>
      </c>
      <c r="H23" s="5">
        <v>1.06E-2</v>
      </c>
      <c r="I23" s="6">
        <v>-1.11E-2</v>
      </c>
      <c r="J23" s="5">
        <v>4.99E-2</v>
      </c>
      <c r="K23" s="5">
        <v>4.6999999999999993E-3</v>
      </c>
      <c r="L23" s="5">
        <v>2.2200000000000001E-2</v>
      </c>
      <c r="M23" s="6">
        <v>-3.9600000000000003E-2</v>
      </c>
      <c r="N23" s="6">
        <v>-2.1600000000000001E-2</v>
      </c>
      <c r="O23" s="4">
        <v>2.4104406472204298E-3</v>
      </c>
      <c r="P23" s="5">
        <v>0.31390000000000001</v>
      </c>
      <c r="Q23" s="5">
        <v>0.22170000000000001</v>
      </c>
      <c r="R23" s="4">
        <v>2.3623488022934729E-2</v>
      </c>
      <c r="S23" s="5">
        <v>0.97129999999999994</v>
      </c>
      <c r="T23" s="5">
        <v>0.1426</v>
      </c>
      <c r="U23" s="4">
        <v>2.5770479406663108E-2</v>
      </c>
      <c r="V23" s="5">
        <v>0.62029999999999996</v>
      </c>
      <c r="W23" s="5">
        <v>0.18490000000000001</v>
      </c>
      <c r="X23" s="4">
        <v>5.1357884567679292E-2</v>
      </c>
      <c r="Y23" s="5">
        <v>0.70550000000000002</v>
      </c>
      <c r="Z23" s="5">
        <v>0.34020000000000011</v>
      </c>
    </row>
    <row r="24" spans="1:38" x14ac:dyDescent="0.2">
      <c r="A24" s="2">
        <v>45792</v>
      </c>
      <c r="B24" t="s">
        <v>106</v>
      </c>
      <c r="C24" s="4">
        <v>1.8800000000000001E-2</v>
      </c>
      <c r="D24" s="4">
        <v>5.6099999999999997E-2</v>
      </c>
      <c r="E24" t="s">
        <v>107</v>
      </c>
      <c r="F24" t="s">
        <v>107</v>
      </c>
      <c r="G24" s="6">
        <v>-0.29310000000000003</v>
      </c>
      <c r="H24" s="5">
        <v>1.06E-2</v>
      </c>
      <c r="I24" s="5">
        <v>0.19089999999999999</v>
      </c>
      <c r="J24" s="5">
        <v>4.99E-2</v>
      </c>
      <c r="K24" s="5">
        <v>0.14169999999999999</v>
      </c>
      <c r="L24" s="5">
        <v>2.2200000000000001E-2</v>
      </c>
      <c r="M24" s="6">
        <v>-1.35E-2</v>
      </c>
      <c r="N24" s="6">
        <v>-2.1600000000000001E-2</v>
      </c>
      <c r="O24" s="4">
        <v>4.1441716803459018E-2</v>
      </c>
      <c r="P24" s="5">
        <v>0.81059999999999999</v>
      </c>
      <c r="Q24" s="5">
        <v>0.22170000000000001</v>
      </c>
      <c r="R24" s="4">
        <v>4.7657314939709067E-2</v>
      </c>
      <c r="S24" s="6">
        <v>-4.4200000000000003E-2</v>
      </c>
      <c r="T24" s="5">
        <v>0.1426</v>
      </c>
      <c r="U24" s="4">
        <v>3.5760229748957047E-2</v>
      </c>
      <c r="V24" s="6">
        <v>-0.5</v>
      </c>
      <c r="W24" s="5">
        <v>0.18490000000000001</v>
      </c>
      <c r="X24" s="4">
        <v>5.4322909997806958E-2</v>
      </c>
      <c r="Y24" s="5">
        <v>0.4597</v>
      </c>
      <c r="Z24" s="5">
        <v>0.34020000000000011</v>
      </c>
    </row>
    <row r="25" spans="1:38" x14ac:dyDescent="0.2">
      <c r="A25" s="2">
        <v>45883</v>
      </c>
      <c r="B25" t="s">
        <v>94</v>
      </c>
      <c r="C25" s="4">
        <v>0</v>
      </c>
      <c r="D25" s="4">
        <v>5.6800000000000003E-2</v>
      </c>
      <c r="E25" t="s">
        <v>95</v>
      </c>
      <c r="F25" t="s">
        <v>95</v>
      </c>
      <c r="G25" s="6">
        <v>-0.1736</v>
      </c>
      <c r="H25" s="5">
        <v>4.99E-2</v>
      </c>
      <c r="I25" s="5">
        <v>0.36059999999999998</v>
      </c>
      <c r="J25" s="5">
        <v>2.2200000000000001E-2</v>
      </c>
      <c r="K25" s="6">
        <v>-0.1817</v>
      </c>
      <c r="L25" s="6">
        <v>-2.1600000000000001E-2</v>
      </c>
      <c r="M25" s="5">
        <v>4.2699999999999988E-2</v>
      </c>
      <c r="N25" s="5">
        <v>0.22170000000000001</v>
      </c>
      <c r="O25" s="4">
        <v>6.6894676836821945E-2</v>
      </c>
      <c r="P25" s="5">
        <v>0.4622</v>
      </c>
      <c r="Q25" s="5">
        <v>0.1426</v>
      </c>
      <c r="R25" s="4">
        <v>3.4208380191871682E-2</v>
      </c>
      <c r="S25" s="6">
        <v>-0.14069999999999999</v>
      </c>
      <c r="T25" s="5">
        <v>0.18490000000000001</v>
      </c>
      <c r="V25" s="5">
        <v>6.0299999999999999E-2</v>
      </c>
      <c r="W25" s="5">
        <v>0.34020000000000011</v>
      </c>
    </row>
    <row r="26" spans="1:38" x14ac:dyDescent="0.2">
      <c r="A26" s="2">
        <v>45883</v>
      </c>
      <c r="B26" t="s">
        <v>88</v>
      </c>
      <c r="C26" s="4">
        <v>1.54E-2</v>
      </c>
      <c r="D26" s="4">
        <v>2.8400000000000002E-2</v>
      </c>
      <c r="E26" t="s">
        <v>89</v>
      </c>
      <c r="F26" t="s">
        <v>89</v>
      </c>
      <c r="G26" s="5">
        <v>0.54520000000000002</v>
      </c>
      <c r="H26" s="5">
        <v>4.99E-2</v>
      </c>
      <c r="I26" s="5">
        <v>0.14349999999999999</v>
      </c>
      <c r="J26" s="5">
        <v>2.2200000000000001E-2</v>
      </c>
      <c r="K26" s="6">
        <v>-3.6600000000000001E-2</v>
      </c>
      <c r="L26" s="6">
        <v>-2.1600000000000001E-2</v>
      </c>
      <c r="M26" s="6">
        <v>-2.1100000000000001E-2</v>
      </c>
      <c r="N26" s="5">
        <v>0.22170000000000001</v>
      </c>
      <c r="O26" s="4">
        <v>1.7890439588961419E-2</v>
      </c>
      <c r="P26" s="5">
        <v>0.2049</v>
      </c>
      <c r="Q26" s="5">
        <v>0.1426</v>
      </c>
      <c r="R26" s="4">
        <v>1.022339404412529E-2</v>
      </c>
      <c r="S26" s="5">
        <v>1.55E-2</v>
      </c>
      <c r="T26" s="5">
        <v>0.18490000000000001</v>
      </c>
      <c r="U26" s="4">
        <v>1.492254751988994E-2</v>
      </c>
      <c r="V26" s="6">
        <v>-1.6000000000000001E-3</v>
      </c>
      <c r="W26" s="5">
        <v>0.34020000000000011</v>
      </c>
    </row>
    <row r="27" spans="1:38" x14ac:dyDescent="0.2">
      <c r="A27" s="2">
        <v>45975</v>
      </c>
      <c r="B27" t="s">
        <v>86</v>
      </c>
      <c r="C27" s="4">
        <v>2.3999999999999998E-3</v>
      </c>
      <c r="D27" s="4">
        <v>2.3599999999999999E-2</v>
      </c>
      <c r="E27" t="s">
        <v>87</v>
      </c>
      <c r="F27" t="s">
        <v>87</v>
      </c>
      <c r="G27" s="5">
        <v>4.6999999999999993E-3</v>
      </c>
      <c r="H27" s="5">
        <v>2.2200000000000001E-2</v>
      </c>
      <c r="I27" s="6">
        <v>-3.9600000000000003E-2</v>
      </c>
      <c r="J27" s="6">
        <v>-2.1600000000000001E-2</v>
      </c>
      <c r="K27" s="5">
        <v>0.31390000000000001</v>
      </c>
      <c r="L27" s="5">
        <v>0.22170000000000001</v>
      </c>
      <c r="M27" s="5">
        <v>0.97129999999999994</v>
      </c>
      <c r="N27" s="5">
        <v>0.1426</v>
      </c>
      <c r="O27" s="4">
        <v>2.5770479406663108E-2</v>
      </c>
      <c r="P27" s="5">
        <v>0.62029999999999996</v>
      </c>
      <c r="Q27" s="5">
        <v>0.18490000000000001</v>
      </c>
      <c r="R27" s="4">
        <v>5.1357884567679292E-2</v>
      </c>
      <c r="S27" s="5">
        <v>0.70550000000000002</v>
      </c>
      <c r="T27" s="5">
        <v>0.34020000000000011</v>
      </c>
    </row>
    <row r="28" spans="1:38" x14ac:dyDescent="0.2">
      <c r="A28" s="2">
        <v>46070</v>
      </c>
      <c r="B28" t="s">
        <v>100</v>
      </c>
      <c r="C28" s="4">
        <v>2.3999999999999998E-3</v>
      </c>
      <c r="D28" s="4">
        <v>3.2800000000000003E-2</v>
      </c>
      <c r="E28" t="s">
        <v>101</v>
      </c>
      <c r="F28" t="s">
        <v>101</v>
      </c>
      <c r="G28" s="5">
        <v>4.9400000000000013E-2</v>
      </c>
      <c r="H28" s="6">
        <v>-2.1600000000000001E-2</v>
      </c>
      <c r="I28" s="5">
        <v>1.0684</v>
      </c>
      <c r="J28" s="5">
        <v>0.22170000000000001</v>
      </c>
      <c r="K28" s="6">
        <v>-0.24310000000000001</v>
      </c>
      <c r="L28" s="5">
        <v>0.1426</v>
      </c>
      <c r="M28" s="6">
        <v>-0.1431</v>
      </c>
      <c r="N28" s="5">
        <v>0.18490000000000001</v>
      </c>
      <c r="O28" s="4">
        <v>7.3745628822782822E-2</v>
      </c>
      <c r="P28" s="5">
        <v>0.74290000000000012</v>
      </c>
      <c r="Q28" s="5">
        <v>0.34020000000000011</v>
      </c>
    </row>
    <row r="29" spans="1:38" x14ac:dyDescent="0.2">
      <c r="A29" s="2">
        <v>46160</v>
      </c>
      <c r="B29" t="s">
        <v>90</v>
      </c>
      <c r="C29" s="4">
        <v>8.6999999999999994E-3</v>
      </c>
      <c r="D29" s="4">
        <v>2.8400000000000002E-2</v>
      </c>
      <c r="E29" t="s">
        <v>162</v>
      </c>
      <c r="F29" t="s">
        <v>163</v>
      </c>
      <c r="G29" s="5">
        <v>0.1226</v>
      </c>
      <c r="H29" s="5">
        <v>0.22170000000000001</v>
      </c>
      <c r="I29" s="5">
        <v>4.0666666666666663E-2</v>
      </c>
      <c r="J29" s="5">
        <v>0.1426</v>
      </c>
      <c r="K29" s="5">
        <v>0.26146666666666663</v>
      </c>
      <c r="L29" s="5">
        <v>0.18490000000000001</v>
      </c>
      <c r="M29" s="5">
        <v>0.76953333333333329</v>
      </c>
      <c r="N29" s="5">
        <v>0.34020000000000011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T15"/>
  <sheetViews>
    <sheetView zoomScale="160" zoomScaleNormal="160" workbookViewId="0">
      <pane xSplit="3" ySplit="1" topLeftCell="J14" activePane="bottomRight" state="frozen"/>
      <selection pane="topRight"/>
      <selection pane="bottomLeft"/>
      <selection pane="bottomRight" activeCell="BL12" sqref="BL12"/>
    </sheetView>
  </sheetViews>
  <sheetFormatPr baseColWidth="10" defaultColWidth="8.83203125" defaultRowHeight="15" x14ac:dyDescent="0.2"/>
  <cols>
    <col min="1" max="1" width="12" customWidth="1"/>
    <col min="2" max="3" width="16" customWidth="1"/>
    <col min="4" max="73" width="10" customWidth="1"/>
    <col min="83" max="98" width="0" hidden="1" customWidth="1"/>
  </cols>
  <sheetData>
    <row r="1" spans="1:98" x14ac:dyDescent="0.2">
      <c r="A1" s="1" t="s">
        <v>0</v>
      </c>
      <c r="B1" s="1" t="s">
        <v>1</v>
      </c>
      <c r="C1" s="1" t="s">
        <v>2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  <c r="J1" s="1" t="s">
        <v>170</v>
      </c>
      <c r="K1" s="1" t="s">
        <v>171</v>
      </c>
      <c r="L1" s="1" t="s">
        <v>172</v>
      </c>
      <c r="M1" s="1" t="s">
        <v>173</v>
      </c>
      <c r="N1" s="1" t="s">
        <v>174</v>
      </c>
      <c r="O1" s="1" t="s">
        <v>175</v>
      </c>
      <c r="P1" s="1" t="s">
        <v>176</v>
      </c>
      <c r="Q1" s="1" t="s">
        <v>177</v>
      </c>
      <c r="R1" s="1" t="s">
        <v>178</v>
      </c>
      <c r="S1" s="1" t="s">
        <v>179</v>
      </c>
      <c r="T1" s="1" t="s">
        <v>180</v>
      </c>
      <c r="U1" s="1" t="s">
        <v>181</v>
      </c>
      <c r="V1" s="1" t="s">
        <v>182</v>
      </c>
      <c r="W1" s="1" t="s">
        <v>183</v>
      </c>
      <c r="X1" s="1" t="s">
        <v>184</v>
      </c>
      <c r="Y1" s="1" t="s">
        <v>185</v>
      </c>
      <c r="Z1" s="1" t="s">
        <v>186</v>
      </c>
      <c r="AA1" s="1" t="s">
        <v>187</v>
      </c>
      <c r="AB1" s="1" t="s">
        <v>188</v>
      </c>
      <c r="AC1" s="1" t="s">
        <v>189</v>
      </c>
      <c r="AD1" s="1" t="s">
        <v>190</v>
      </c>
      <c r="AE1" s="1" t="s">
        <v>191</v>
      </c>
      <c r="AF1" s="1" t="s">
        <v>192</v>
      </c>
      <c r="AG1" s="1" t="s">
        <v>193</v>
      </c>
      <c r="AH1" s="1" t="s">
        <v>194</v>
      </c>
      <c r="AI1" s="1" t="s">
        <v>195</v>
      </c>
      <c r="AJ1" s="1" t="s">
        <v>196</v>
      </c>
      <c r="AK1" s="1" t="s">
        <v>197</v>
      </c>
      <c r="AL1" s="1" t="s">
        <v>198</v>
      </c>
      <c r="AM1" s="1" t="s">
        <v>199</v>
      </c>
      <c r="AN1" s="1" t="s">
        <v>3</v>
      </c>
      <c r="AO1" s="1" t="s">
        <v>200</v>
      </c>
      <c r="AP1" s="1" t="s">
        <v>201</v>
      </c>
      <c r="AQ1" s="1" t="s">
        <v>4</v>
      </c>
      <c r="AR1" s="1" t="s">
        <v>202</v>
      </c>
      <c r="AS1" s="1" t="s">
        <v>203</v>
      </c>
      <c r="AT1" s="1" t="s">
        <v>5</v>
      </c>
      <c r="AU1" s="1" t="s">
        <v>204</v>
      </c>
      <c r="AV1" s="1" t="s">
        <v>205</v>
      </c>
      <c r="AW1" s="1" t="s">
        <v>6</v>
      </c>
      <c r="AX1" s="1" t="s">
        <v>206</v>
      </c>
      <c r="AY1" s="1" t="s">
        <v>207</v>
      </c>
      <c r="AZ1" s="1" t="s">
        <v>7</v>
      </c>
      <c r="BA1" s="1" t="s">
        <v>208</v>
      </c>
      <c r="BB1" s="1" t="s">
        <v>209</v>
      </c>
      <c r="BC1" s="1" t="s">
        <v>8</v>
      </c>
      <c r="BD1" s="1" t="s">
        <v>210</v>
      </c>
      <c r="BE1" s="1" t="s">
        <v>211</v>
      </c>
      <c r="BF1" s="1" t="s">
        <v>9</v>
      </c>
      <c r="BG1" s="1" t="s">
        <v>212</v>
      </c>
      <c r="BH1" s="1" t="s">
        <v>213</v>
      </c>
      <c r="BI1" s="1" t="s">
        <v>10</v>
      </c>
      <c r="BJ1" s="1" t="s">
        <v>214</v>
      </c>
      <c r="BK1" s="1" t="s">
        <v>215</v>
      </c>
      <c r="BL1" s="1" t="s">
        <v>11</v>
      </c>
      <c r="BM1" s="1" t="s">
        <v>216</v>
      </c>
      <c r="BN1" s="1" t="s">
        <v>217</v>
      </c>
      <c r="BO1" s="1" t="s">
        <v>12</v>
      </c>
      <c r="BP1" s="1" t="s">
        <v>218</v>
      </c>
      <c r="BQ1" s="1" t="s">
        <v>219</v>
      </c>
      <c r="BR1" s="1" t="s">
        <v>13</v>
      </c>
      <c r="BS1" s="1" t="s">
        <v>220</v>
      </c>
      <c r="BT1" s="1" t="s">
        <v>221</v>
      </c>
      <c r="BU1" s="1" t="s">
        <v>14</v>
      </c>
      <c r="BW1" s="8" t="s">
        <v>229</v>
      </c>
      <c r="BX1" s="9"/>
      <c r="BY1" s="9"/>
      <c r="BZ1" s="9"/>
      <c r="CA1" s="9" t="s">
        <v>261</v>
      </c>
      <c r="CB1" s="9"/>
      <c r="CC1" s="9"/>
      <c r="CE1" t="s">
        <v>245</v>
      </c>
      <c r="CF1" t="s">
        <v>246</v>
      </c>
      <c r="CG1" t="s">
        <v>247</v>
      </c>
      <c r="CH1" t="s">
        <v>248</v>
      </c>
      <c r="CI1" t="s">
        <v>249</v>
      </c>
      <c r="CJ1" t="s">
        <v>250</v>
      </c>
      <c r="CK1" t="s">
        <v>251</v>
      </c>
      <c r="CL1" t="s">
        <v>252</v>
      </c>
      <c r="CM1" t="s">
        <v>253</v>
      </c>
      <c r="CN1" t="s">
        <v>254</v>
      </c>
      <c r="CO1" t="s">
        <v>255</v>
      </c>
      <c r="CP1" t="s">
        <v>256</v>
      </c>
      <c r="CQ1" t="s">
        <v>257</v>
      </c>
      <c r="CR1" t="s">
        <v>258</v>
      </c>
      <c r="CS1" t="s">
        <v>259</v>
      </c>
      <c r="CT1" t="s">
        <v>260</v>
      </c>
    </row>
    <row r="2" spans="1:98" x14ac:dyDescent="0.2">
      <c r="A2" s="2">
        <v>44057</v>
      </c>
      <c r="B2" s="3">
        <v>8.5099999999999995E-2</v>
      </c>
      <c r="C2" s="4">
        <v>0.1653</v>
      </c>
      <c r="D2" t="s">
        <v>87</v>
      </c>
      <c r="E2" s="4">
        <v>6.0149218747793769E-2</v>
      </c>
      <c r="F2" t="s">
        <v>91</v>
      </c>
      <c r="G2" s="4">
        <v>3.6662233028626617E-2</v>
      </c>
      <c r="H2" t="s">
        <v>93</v>
      </c>
      <c r="I2" s="4">
        <v>3.5903996204579923E-2</v>
      </c>
      <c r="J2" t="s">
        <v>83</v>
      </c>
      <c r="K2" s="4">
        <v>3.2587239594364478E-2</v>
      </c>
      <c r="AU2" s="5">
        <v>0.125975</v>
      </c>
      <c r="AV2" s="5">
        <v>0.1073411938054685</v>
      </c>
      <c r="AW2" s="5">
        <v>0.3009</v>
      </c>
      <c r="AX2" s="5">
        <v>0.181925</v>
      </c>
      <c r="AY2" s="5">
        <v>0.2081162978021884</v>
      </c>
      <c r="AZ2" s="5">
        <v>0.18190000000000001</v>
      </c>
      <c r="BA2" s="5">
        <v>0.24987500000000001</v>
      </c>
      <c r="BB2" s="5">
        <v>0.27615320275730121</v>
      </c>
      <c r="BC2" s="5">
        <v>0.27850000000000003</v>
      </c>
      <c r="BD2" s="6">
        <v>-4.1500000000000002E-2</v>
      </c>
      <c r="BE2" s="6">
        <v>-4.3755374943410412E-2</v>
      </c>
      <c r="BF2" s="6">
        <v>-2.8500000000000001E-2</v>
      </c>
      <c r="BG2" s="5">
        <v>3.27E-2</v>
      </c>
      <c r="BH2" s="5">
        <v>1.3426484782738551E-3</v>
      </c>
      <c r="BI2" s="5">
        <v>5.0199999999999988E-2</v>
      </c>
      <c r="BJ2" s="5">
        <v>0.26222499999999999</v>
      </c>
      <c r="BK2" s="5">
        <v>0.23235290977270201</v>
      </c>
      <c r="BL2" s="5">
        <v>0.1507</v>
      </c>
      <c r="BM2" s="6">
        <v>-4.0050000000000002E-2</v>
      </c>
      <c r="BN2" s="6">
        <v>-6.2065413296204831E-3</v>
      </c>
      <c r="BO2" s="6">
        <v>-0.1138</v>
      </c>
      <c r="BP2" s="6">
        <v>-0.19686666666666669</v>
      </c>
      <c r="BQ2" s="6">
        <v>-0.19786516804601231</v>
      </c>
      <c r="BR2" s="6">
        <v>-0.13789999999999999</v>
      </c>
      <c r="BS2" s="6">
        <v>-4.179999999999999E-2</v>
      </c>
      <c r="BT2" s="6">
        <v>-5.2741594406515477E-2</v>
      </c>
      <c r="BU2" s="5">
        <v>7.8600000000000003E-2</v>
      </c>
      <c r="BW2" s="10" t="s">
        <v>230</v>
      </c>
      <c r="BX2" s="10" t="s">
        <v>231</v>
      </c>
      <c r="BY2" s="10" t="s">
        <v>232</v>
      </c>
      <c r="BZ2" s="9"/>
      <c r="CA2" s="10" t="s">
        <v>230</v>
      </c>
      <c r="CB2" s="10" t="s">
        <v>231</v>
      </c>
      <c r="CC2" s="10" t="s">
        <v>232</v>
      </c>
      <c r="CE2">
        <f>IF(AY2="","",AY2)</f>
        <v>0.2081162978021884</v>
      </c>
      <c r="CF2">
        <f>IF(BB2="","",(1+CE2)*(1+BB2)-1)</f>
        <v>0.54174148274355627</v>
      </c>
      <c r="CG2">
        <f>IF(BE2="","",(1+CF2)*(1+BE2)-1)</f>
        <v>0.47428200610030236</v>
      </c>
      <c r="CH2">
        <f>IF(BH2="","",(1+CG2)*(1+BH2)-1)</f>
        <v>0.47626144859233954</v>
      </c>
      <c r="CI2">
        <f>IF(BK2="","",(1+CH2)*(1+BK2)-1)</f>
        <v>0.81927509175803359</v>
      </c>
      <c r="CJ2">
        <f>IF(BN2="","",(1+CI2)*(1+BN2)-1)</f>
        <v>0.80798368571108825</v>
      </c>
      <c r="CK2">
        <f>IF(BQ2="","",(1+CJ2)*(1+BQ2)-1)</f>
        <v>0.45024668991341521</v>
      </c>
      <c r="CL2">
        <f>IF(BT2="","",(1+CK2)*(1+BT2)-1)</f>
        <v>0.37375836720461031</v>
      </c>
      <c r="CM2">
        <f>IF(AZ2="","",AZ2)</f>
        <v>0.18190000000000001</v>
      </c>
      <c r="CN2">
        <f>IF(BC2="","",(1+CM2)*(1+BC2)-1)</f>
        <v>0.51105914999999991</v>
      </c>
      <c r="CO2">
        <f>IF(BF2="","",(1+CN2)*(1+BF2)-1)</f>
        <v>0.46799396422499995</v>
      </c>
      <c r="CP2">
        <f>IF(BI2="","",(1+CO2)*(1+BI2)-1)</f>
        <v>0.54168726122909505</v>
      </c>
      <c r="CQ2">
        <f>IF(BL2="","",(1+CP2)*(1+BL2)-1)</f>
        <v>0.77401953149631986</v>
      </c>
      <c r="CR2">
        <f>IF(BO2="","",(1+CQ2)*(1+BO2)-1)</f>
        <v>0.57213610881203869</v>
      </c>
      <c r="CS2">
        <f>IF(BR2="","",(1+CR2)*(1+BR2)-1)</f>
        <v>0.35533853940685844</v>
      </c>
      <c r="CT2">
        <f>IF(BU2="","",(1+CS2)*(1+BU2)-1)</f>
        <v>0.46186814860423753</v>
      </c>
    </row>
    <row r="3" spans="1:98" x14ac:dyDescent="0.2">
      <c r="A3" s="2">
        <v>44348</v>
      </c>
      <c r="B3" s="3">
        <v>5.8200000000000002E-2</v>
      </c>
      <c r="C3" s="4">
        <v>7.5700000000000003E-2</v>
      </c>
      <c r="D3" t="s">
        <v>140</v>
      </c>
      <c r="E3" s="4">
        <v>5.3618111547959327E-2</v>
      </c>
      <c r="F3" t="s">
        <v>87</v>
      </c>
      <c r="G3" s="4">
        <v>1.6832103283159081E-2</v>
      </c>
      <c r="H3" t="s">
        <v>93</v>
      </c>
      <c r="I3" s="4">
        <v>5.2291701114613367E-3</v>
      </c>
      <c r="AL3" s="5">
        <v>0.12379999999999999</v>
      </c>
      <c r="AM3" s="5">
        <v>0.3494682617560092</v>
      </c>
      <c r="AN3" s="5">
        <v>0.3009</v>
      </c>
      <c r="AO3" s="5">
        <v>0.11269999999999999</v>
      </c>
      <c r="AP3" s="5">
        <v>9.7152186665394866E-2</v>
      </c>
      <c r="AQ3" s="5">
        <v>0.18190000000000001</v>
      </c>
      <c r="AR3" s="5">
        <v>0.29046666666666671</v>
      </c>
      <c r="AS3" s="5">
        <v>0.18337444707411299</v>
      </c>
      <c r="AT3" s="5">
        <v>0.27850000000000003</v>
      </c>
      <c r="AU3" s="6">
        <v>-8.0333333333333326E-2</v>
      </c>
      <c r="AV3" s="6">
        <v>-9.7348343308851587E-2</v>
      </c>
      <c r="AW3" s="6">
        <v>-2.8500000000000001E-2</v>
      </c>
      <c r="AX3" s="5">
        <v>3.9633333333333333E-2</v>
      </c>
      <c r="AY3" s="5">
        <v>0.19512946901230449</v>
      </c>
      <c r="AZ3" s="5">
        <v>5.0199999999999988E-2</v>
      </c>
      <c r="BA3" s="5">
        <v>0.13153333333333331</v>
      </c>
      <c r="BB3" s="5">
        <v>0.27224405522701262</v>
      </c>
      <c r="BC3" s="5">
        <v>0.1507</v>
      </c>
      <c r="BD3" s="6">
        <v>-3.1833333333333318E-2</v>
      </c>
      <c r="BE3" s="6">
        <v>-0.12089224353777191</v>
      </c>
      <c r="BF3" s="6">
        <v>-0.1138</v>
      </c>
      <c r="BG3" s="6">
        <v>-0.15913333333333329</v>
      </c>
      <c r="BH3" s="6">
        <v>-0.17798951467712701</v>
      </c>
      <c r="BI3" s="6">
        <v>-0.13789999999999999</v>
      </c>
      <c r="BJ3" s="6">
        <v>-5.2066666666666657E-2</v>
      </c>
      <c r="BK3" s="5">
        <v>2.283494610835559E-2</v>
      </c>
      <c r="BL3" s="5">
        <v>7.8600000000000003E-2</v>
      </c>
      <c r="BM3" s="6">
        <v>-0.15626666666666669</v>
      </c>
      <c r="BN3" s="6">
        <v>-0.2129794308589279</v>
      </c>
      <c r="BO3" s="6">
        <v>-0.11269999999999999</v>
      </c>
      <c r="BP3" s="5">
        <v>4.3700000000000003E-2</v>
      </c>
      <c r="BQ3" s="5">
        <v>0.1181253910721099</v>
      </c>
      <c r="BR3" s="5">
        <v>0.17</v>
      </c>
      <c r="BS3" s="5">
        <v>7.3833333333333334E-2</v>
      </c>
      <c r="BT3" s="5">
        <v>0.10714140684614649</v>
      </c>
      <c r="BU3" s="6">
        <v>-3.0000000000000001E-3</v>
      </c>
      <c r="BW3" s="11" t="s">
        <v>233</v>
      </c>
      <c r="BX3" s="12">
        <f>IFERROR(AVERAGE(AM$2:AM$11),NA())</f>
        <v>6.608890189561506E-2</v>
      </c>
      <c r="BY3" s="12">
        <f>IFERROR(AVERAGE(AN$2:AN$11),NA())</f>
        <v>7.6311111111111107E-2</v>
      </c>
      <c r="BZ3" s="13"/>
      <c r="CA3" s="11" t="s">
        <v>237</v>
      </c>
      <c r="CB3" s="12">
        <f>IFERROR(AVERAGE(CE$2:CE$11),NA())</f>
        <v>0.16861356461014929</v>
      </c>
      <c r="CC3" s="12">
        <f>IFERROR(AVERAGE(CM$2:CM$11),NA())</f>
        <v>9.0333333333333321E-2</v>
      </c>
      <c r="CE3">
        <f>IF(AY3="","",AY3)</f>
        <v>0.19512946901230449</v>
      </c>
      <c r="CF3">
        <f>IF(BB3="","",(1+CE3)*(1+BB3)-1)</f>
        <v>0.52049636217752049</v>
      </c>
      <c r="CG3">
        <f>IF(BE3="","",(1+CF3)*(1+BE3)-1)</f>
        <v>0.33668014566285942</v>
      </c>
      <c r="CH3">
        <f>IF(BH3="","",(1+CG3)*(1+BH3)-1)</f>
        <v>9.8765095257775659E-2</v>
      </c>
      <c r="CI3">
        <f>IF(BK3="","",(1+CH3)*(1+BK3)-1)</f>
        <v>0.12385533699372919</v>
      </c>
      <c r="CJ3">
        <f>IF(BN3="","",(1+CI3)*(1+BN3)-1)</f>
        <v>-0.1155027330469639</v>
      </c>
      <c r="CK3">
        <f>IF(BQ3="","",(1+CJ3)*(1+BQ3)-1)</f>
        <v>-1.1021147485924199E-2</v>
      </c>
      <c r="CL3">
        <f>IF(BT3="","",(1+CK3)*(1+BT3)-1)</f>
        <v>9.4939438113521568E-2</v>
      </c>
      <c r="CM3">
        <f>IF(AZ3="","",AZ3)</f>
        <v>5.0199999999999988E-2</v>
      </c>
      <c r="CN3">
        <f>IF(BC3="","",(1+CM3)*(1+BC3)-1)</f>
        <v>0.20846514000000016</v>
      </c>
      <c r="CO3">
        <f>IF(BF3="","",(1+CN3)*(1+BF3)-1)</f>
        <v>7.0941807068000129E-2</v>
      </c>
      <c r="CP3">
        <f>IF(BI3="","",(1+CO3)*(1+BI3)-1)</f>
        <v>-7.6741068126677137E-2</v>
      </c>
      <c r="CQ3">
        <f>IF(BL3="","",(1+CP3)*(1+BL3)-1)</f>
        <v>-4.1729160814339972E-3</v>
      </c>
      <c r="CR3">
        <f>IF(BO3="","",(1+CQ3)*(1+BO3)-1)</f>
        <v>-0.11640262843905635</v>
      </c>
      <c r="CS3">
        <f>IF(BR3="","",(1+CR3)*(1+BR3)-1)</f>
        <v>3.3808924726304035E-2</v>
      </c>
      <c r="CT3">
        <f>IF(BU3="","",(1+CS3)*(1+BU3)-1)</f>
        <v>3.0707497952125129E-2</v>
      </c>
    </row>
    <row r="4" spans="1:98" x14ac:dyDescent="0.2">
      <c r="A4" s="2">
        <v>44606</v>
      </c>
      <c r="B4" s="3">
        <v>9.7100000000000006E-2</v>
      </c>
      <c r="C4" s="4">
        <v>0.10979999999999999</v>
      </c>
      <c r="D4" t="s">
        <v>93</v>
      </c>
      <c r="E4" s="4">
        <v>6.7026113258485953E-2</v>
      </c>
      <c r="F4" t="s">
        <v>87</v>
      </c>
      <c r="G4" s="4">
        <v>4.2777373300544638E-2</v>
      </c>
      <c r="AL4" s="6">
        <v>-6.2299999999999987E-2</v>
      </c>
      <c r="AM4" s="6">
        <v>-6.7025924935188372E-2</v>
      </c>
      <c r="AN4" s="6">
        <v>-2.8500000000000001E-2</v>
      </c>
      <c r="AO4" s="6">
        <v>-0.10555</v>
      </c>
      <c r="AP4" s="6">
        <v>-9.4165821008927078E-2</v>
      </c>
      <c r="AQ4" s="5">
        <v>5.0199999999999988E-2</v>
      </c>
      <c r="AR4" s="5">
        <v>1.5800000000000002E-2</v>
      </c>
      <c r="AS4" s="5">
        <v>7.3887473925948115E-4</v>
      </c>
      <c r="AT4" s="5">
        <v>0.1507</v>
      </c>
      <c r="AU4" s="5">
        <v>6.2200000000000012E-2</v>
      </c>
      <c r="AV4" s="5">
        <v>3.8040365050952887E-2</v>
      </c>
      <c r="AW4" s="6">
        <v>-0.1138</v>
      </c>
      <c r="AX4" s="6">
        <v>-0.15104999999999999</v>
      </c>
      <c r="AY4" s="6">
        <v>-0.13699368588202149</v>
      </c>
      <c r="AZ4" s="6">
        <v>-0.13789999999999999</v>
      </c>
      <c r="BA4" s="6">
        <v>-0.114</v>
      </c>
      <c r="BB4" s="6">
        <v>-0.1214863951076115</v>
      </c>
      <c r="BC4" s="5">
        <v>7.8600000000000003E-2</v>
      </c>
      <c r="BD4" s="6">
        <v>-9.8349999999999993E-2</v>
      </c>
      <c r="BE4" s="6">
        <v>-0.1105512781621102</v>
      </c>
      <c r="BF4" s="6">
        <v>-0.11269999999999999</v>
      </c>
      <c r="BG4" s="6">
        <v>-1.89E-2</v>
      </c>
      <c r="BH4" s="6">
        <v>-2.4619694197260698E-2</v>
      </c>
      <c r="BI4" s="5">
        <v>0.17</v>
      </c>
      <c r="BJ4" s="5">
        <v>4.4150000000000002E-2</v>
      </c>
      <c r="BK4" s="5">
        <v>4.4293544448966007E-2</v>
      </c>
      <c r="BL4" s="6">
        <v>-3.0000000000000001E-3</v>
      </c>
      <c r="BM4" s="5">
        <v>0.12995000000000001</v>
      </c>
      <c r="BN4" s="5">
        <v>0.14577301502832929</v>
      </c>
      <c r="BO4" s="5">
        <v>0.1946</v>
      </c>
      <c r="BP4" s="5">
        <v>0.12015000000000001</v>
      </c>
      <c r="BQ4" s="5">
        <v>0.1175109905151635</v>
      </c>
      <c r="BR4" s="5">
        <v>6.9199999999999998E-2</v>
      </c>
      <c r="BS4" s="5">
        <v>9.3200000000000005E-2</v>
      </c>
      <c r="BT4" s="5">
        <v>0.1001343010731269</v>
      </c>
      <c r="BU4" s="5">
        <v>0.26960000000000001</v>
      </c>
      <c r="BW4" s="11" t="s">
        <v>234</v>
      </c>
      <c r="BX4" s="12">
        <f>IFERROR(AVERAGE(AP$2:AP$11),NA())</f>
        <v>0.10303418163358437</v>
      </c>
      <c r="BY4" s="12">
        <f>IFERROR(AVERAGE(AQ$2:AQ$11),NA())</f>
        <v>7.7900000000000011E-2</v>
      </c>
      <c r="BZ4" s="13"/>
      <c r="CA4" s="11" t="s">
        <v>238</v>
      </c>
      <c r="CB4" s="12">
        <f>IFERROR(AVERAGE(CF$2:CF$11),NA())</f>
        <v>0.36067881597909351</v>
      </c>
      <c r="CC4" s="12">
        <f>IFERROR(AVERAGE(CN$2:CN$11),NA())</f>
        <v>0.22196861000000004</v>
      </c>
      <c r="CE4">
        <f>IF(AY4="","",AY4)</f>
        <v>-0.13699368588202149</v>
      </c>
      <c r="CF4">
        <f>IF(BB4="","",(1+CE4)*(1+BB4)-1)</f>
        <v>-0.24183721193932173</v>
      </c>
      <c r="CG4">
        <f>IF(BE4="","",(1+CF4)*(1+BE4)-1)</f>
        <v>-0.32565307721437875</v>
      </c>
      <c r="CH4">
        <f>IF(BH4="","",(1+CG4)*(1+BH4)-1)</f>
        <v>-0.34225529223622453</v>
      </c>
      <c r="CI4">
        <f>IF(BK4="","",(1+CH4)*(1+BK4)-1)</f>
        <v>-0.31312144778681761</v>
      </c>
      <c r="CJ4">
        <f>IF(BN4="","",(1+CI4)*(1+BN4)-1)</f>
        <v>-0.2129930902724082</v>
      </c>
      <c r="CK4">
        <f>IF(BQ4="","",(1+CJ4)*(1+BQ4)-1)</f>
        <v>-0.12051112876804104</v>
      </c>
      <c r="CL4">
        <f>IF(BT4="","",(1+CK4)*(1+BT4)-1)</f>
        <v>-3.2444125345635566E-2</v>
      </c>
      <c r="CM4">
        <f>IF(AZ4="","",AZ4)</f>
        <v>-0.13789999999999999</v>
      </c>
      <c r="CN4">
        <f>IF(BC4="","",(1+CM4)*(1+BC4)-1)</f>
        <v>-7.0138939999999983E-2</v>
      </c>
      <c r="CO4">
        <f>IF(BF4="","",(1+CN4)*(1+BF4)-1)</f>
        <v>-0.17493428146199996</v>
      </c>
      <c r="CP4">
        <f>IF(BI4="","",(1+CO4)*(1+BI4)-1)</f>
        <v>-3.4673109310540018E-2</v>
      </c>
      <c r="CQ4">
        <f>IF(BL4="","",(1+CP4)*(1+BL4)-1)</f>
        <v>-3.7569089982608439E-2</v>
      </c>
      <c r="CR4">
        <f>IF(BO4="","",(1+CQ4)*(1+BO4)-1)</f>
        <v>0.14971996510677577</v>
      </c>
      <c r="CS4">
        <f>IF(BR4="","",(1+CR4)*(1+BR4)-1)</f>
        <v>0.22928058669216456</v>
      </c>
      <c r="CT4">
        <f>IF(BU4="","",(1+CS4)*(1+BU4)-1)</f>
        <v>0.56069463286437227</v>
      </c>
    </row>
    <row r="5" spans="1:98" x14ac:dyDescent="0.2">
      <c r="A5" s="2">
        <v>44879</v>
      </c>
      <c r="B5" s="3">
        <v>9.6099999999999991E-2</v>
      </c>
      <c r="C5" s="4">
        <v>9.6099999999999991E-2</v>
      </c>
      <c r="D5" t="s">
        <v>140</v>
      </c>
      <c r="E5" s="4">
        <v>5.5429341335314887E-2</v>
      </c>
      <c r="F5" t="s">
        <v>95</v>
      </c>
      <c r="G5" s="4">
        <v>2.4110334367764049E-2</v>
      </c>
      <c r="H5" t="s">
        <v>146</v>
      </c>
      <c r="I5" s="4">
        <v>1.658665210995993E-2</v>
      </c>
      <c r="AL5" s="6">
        <v>-0.1191333333333333</v>
      </c>
      <c r="AM5" s="6">
        <v>-0.15579416151039191</v>
      </c>
      <c r="AN5" s="6">
        <v>-0.1138</v>
      </c>
      <c r="AO5" s="6">
        <v>-0.12183333333333329</v>
      </c>
      <c r="AP5" s="6">
        <v>-0.13437982624584899</v>
      </c>
      <c r="AQ5" s="6">
        <v>-0.13789999999999999</v>
      </c>
      <c r="AR5" s="5">
        <v>8.0466666666666672E-2</v>
      </c>
      <c r="AS5" s="5">
        <v>8.3479207766416652E-2</v>
      </c>
      <c r="AT5" s="5">
        <v>7.8600000000000003E-2</v>
      </c>
      <c r="AU5" s="6">
        <v>-0.15570000000000001</v>
      </c>
      <c r="AV5" s="6">
        <v>-0.18850561801441021</v>
      </c>
      <c r="AW5" s="6">
        <v>-0.11269999999999999</v>
      </c>
      <c r="AX5" s="5">
        <v>9.0833333333333335E-2</v>
      </c>
      <c r="AY5" s="5">
        <v>0.115895224769814</v>
      </c>
      <c r="AZ5" s="5">
        <v>0.17</v>
      </c>
      <c r="BA5" s="6">
        <v>-7.3399999999999993E-2</v>
      </c>
      <c r="BB5" s="6">
        <v>-3.4106752668406361E-3</v>
      </c>
      <c r="BC5" s="6">
        <v>-3.0000000000000001E-3</v>
      </c>
      <c r="BD5" s="5">
        <v>0.37276666666666669</v>
      </c>
      <c r="BE5" s="5">
        <v>0.29659571878744118</v>
      </c>
      <c r="BF5" s="5">
        <v>0.1946</v>
      </c>
      <c r="BG5" s="5">
        <v>2.0733333333333329E-2</v>
      </c>
      <c r="BH5" s="5">
        <v>4.1826605283745558E-2</v>
      </c>
      <c r="BI5" s="5">
        <v>6.9199999999999998E-2</v>
      </c>
      <c r="BJ5" s="5">
        <v>0.27396666666666658</v>
      </c>
      <c r="BK5" s="5">
        <v>0.34954820583520713</v>
      </c>
      <c r="BL5" s="5">
        <v>0.26960000000000001</v>
      </c>
      <c r="BM5" s="5">
        <v>0.10533333333333331</v>
      </c>
      <c r="BN5" s="5">
        <v>4.3143360031074413E-2</v>
      </c>
      <c r="BO5" s="5">
        <v>0.15049999999999999</v>
      </c>
      <c r="BP5" s="6">
        <v>-6.5500000000000003E-2</v>
      </c>
      <c r="BQ5" s="6">
        <v>-8.0858222411878303E-2</v>
      </c>
      <c r="BR5" s="5">
        <v>1.06E-2</v>
      </c>
      <c r="BS5" s="5">
        <v>7.8599999999999989E-2</v>
      </c>
      <c r="BT5" s="5">
        <v>2.1604494849196059E-2</v>
      </c>
      <c r="BU5" s="5">
        <v>4.99E-2</v>
      </c>
      <c r="BW5" s="11" t="s">
        <v>235</v>
      </c>
      <c r="BX5" s="12">
        <f>IFERROR(AVERAGE(AS$2:AS$11),NA())</f>
        <v>0.10289347814009438</v>
      </c>
      <c r="BY5" s="12">
        <f>IFERROR(AVERAGE(AT$2:AT$11),NA())</f>
        <v>0.13521111111111112</v>
      </c>
      <c r="BZ5" s="13"/>
      <c r="CA5" s="11" t="s">
        <v>239</v>
      </c>
      <c r="CB5" s="12">
        <f>IFERROR(AVERAGE(CG$2:CG$11),NA())</f>
        <v>0.35579306404408112</v>
      </c>
      <c r="CC5" s="12">
        <f>IFERROR(AVERAGE(CO$2:CO$11),NA())</f>
        <v>0.25507913204766669</v>
      </c>
      <c r="CE5">
        <f>IF(AY5="","",AY5)</f>
        <v>0.115895224769814</v>
      </c>
      <c r="CF5">
        <f>IF(BB5="","",(1+CE5)*(1+BB5)-1)</f>
        <v>0.11208926852630596</v>
      </c>
      <c r="CG5">
        <f>IF(BE5="","",(1+CF5)*(1+BE5)-1)</f>
        <v>0.44193018448066534</v>
      </c>
      <c r="CH5">
        <f>IF(BH5="","",(1+CG5)*(1+BH5)-1)</f>
        <v>0.50224122915365643</v>
      </c>
      <c r="CI5">
        <f>IF(BK5="","",(1+CH5)*(1+BK5)-1)</f>
        <v>1.0273469555359931</v>
      </c>
      <c r="CJ5">
        <f>IF(BN5="","",(1+CI5)*(1+BN5)-1)</f>
        <v>1.1148135151465852</v>
      </c>
      <c r="CK5">
        <f>IF(BQ5="","",(1+CJ5)*(1+BQ5)-1)</f>
        <v>0.94381345357921642</v>
      </c>
      <c r="CL5">
        <f>IF(BT5="","",(1+CK5)*(1+BT5)-1)</f>
        <v>0.98580856132486661</v>
      </c>
      <c r="CM5">
        <f>IF(AZ5="","",AZ5)</f>
        <v>0.17</v>
      </c>
      <c r="CN5">
        <f>IF(BC5="","",(1+CM5)*(1+BC5)-1)</f>
        <v>0.16649000000000003</v>
      </c>
      <c r="CO5">
        <f>IF(BF5="","",(1+CN5)*(1+BF5)-1)</f>
        <v>0.39348895399999995</v>
      </c>
      <c r="CP5">
        <f>IF(BI5="","",(1+CO5)*(1+BI5)-1)</f>
        <v>0.48991838961679979</v>
      </c>
      <c r="CQ5">
        <f>IF(BL5="","",(1+CP5)*(1+BL5)-1)</f>
        <v>0.89160038745748915</v>
      </c>
      <c r="CR5">
        <f>IF(BO5="","",(1+CQ5)*(1+BO5)-1)</f>
        <v>1.1762862457698415</v>
      </c>
      <c r="CS5">
        <f>IF(BR5="","",(1+CR5)*(1+BR5)-1)</f>
        <v>1.1993548799750018</v>
      </c>
      <c r="CT5">
        <f>IF(BU5="","",(1+CS5)*(1+BU5)-1)</f>
        <v>1.3091026884857544</v>
      </c>
    </row>
    <row r="6" spans="1:98" x14ac:dyDescent="0.2">
      <c r="A6" s="2">
        <v>44971</v>
      </c>
      <c r="B6" s="3">
        <v>0.1198</v>
      </c>
      <c r="C6" s="4">
        <v>0.21590000000000001</v>
      </c>
      <c r="D6" t="s">
        <v>140</v>
      </c>
      <c r="E6" s="4">
        <v>9.2886029315251847E-2</v>
      </c>
      <c r="F6" t="s">
        <v>146</v>
      </c>
      <c r="G6" s="4">
        <v>6.187745422018575E-2</v>
      </c>
      <c r="H6" t="s">
        <v>95</v>
      </c>
      <c r="I6" s="4">
        <v>3.9801663643990987E-2</v>
      </c>
      <c r="J6" t="s">
        <v>83</v>
      </c>
      <c r="K6" s="4">
        <v>2.1350181945896329E-2</v>
      </c>
      <c r="AL6" s="6">
        <v>-0.16350000000000001</v>
      </c>
      <c r="AM6" s="6">
        <v>-0.15782519026585581</v>
      </c>
      <c r="AN6" s="6">
        <v>-0.13789999999999999</v>
      </c>
      <c r="AO6" s="5">
        <v>8.5999999999999993E-2</v>
      </c>
      <c r="AP6" s="5">
        <v>7.2900590035310561E-2</v>
      </c>
      <c r="AQ6" s="5">
        <v>7.8600000000000003E-2</v>
      </c>
      <c r="AR6" s="6">
        <v>-0.15267500000000001</v>
      </c>
      <c r="AS6" s="6">
        <v>-0.18980799824220901</v>
      </c>
      <c r="AT6" s="6">
        <v>-0.11269999999999999</v>
      </c>
      <c r="AU6" s="5">
        <v>0.17065</v>
      </c>
      <c r="AV6" s="5">
        <v>0.1420837419197466</v>
      </c>
      <c r="AW6" s="5">
        <v>0.17</v>
      </c>
      <c r="AX6" s="5">
        <v>1.010000000000001E-2</v>
      </c>
      <c r="AY6" s="5">
        <v>6.9240730992258517E-3</v>
      </c>
      <c r="AZ6" s="6">
        <v>-3.0000000000000001E-3</v>
      </c>
      <c r="BA6" s="5">
        <v>0.40739999999999998</v>
      </c>
      <c r="BB6" s="5">
        <v>0.33618601006031801</v>
      </c>
      <c r="BC6" s="5">
        <v>0.1946</v>
      </c>
      <c r="BD6" s="5">
        <v>4.9299999999999997E-2</v>
      </c>
      <c r="BE6" s="5">
        <v>3.7894636598299558E-2</v>
      </c>
      <c r="BF6" s="5">
        <v>6.9199999999999998E-2</v>
      </c>
      <c r="BG6" s="5">
        <v>0.32757500000000001</v>
      </c>
      <c r="BH6" s="5">
        <v>0.3419667730941498</v>
      </c>
      <c r="BI6" s="5">
        <v>0.26960000000000001</v>
      </c>
      <c r="BJ6" s="5">
        <v>0.14915</v>
      </c>
      <c r="BK6" s="5">
        <v>6.1664327794120732E-2</v>
      </c>
      <c r="BL6" s="5">
        <v>0.15049999999999999</v>
      </c>
      <c r="BM6" s="5">
        <v>1.285E-2</v>
      </c>
      <c r="BN6" s="6">
        <v>-5.0035482660104033E-2</v>
      </c>
      <c r="BO6" s="5">
        <v>1.06E-2</v>
      </c>
      <c r="BP6" s="5">
        <v>0.1197</v>
      </c>
      <c r="BQ6" s="5">
        <v>0.10740061224299249</v>
      </c>
      <c r="BR6" s="5">
        <v>4.99E-2</v>
      </c>
      <c r="BS6" s="5">
        <v>7.4075000000000016E-2</v>
      </c>
      <c r="BT6" s="5">
        <v>3.1517618767339953E-2</v>
      </c>
      <c r="BU6" s="5">
        <v>2.2200000000000001E-2</v>
      </c>
      <c r="BW6" s="11" t="s">
        <v>236</v>
      </c>
      <c r="BX6" s="12">
        <f>IFERROR(AVERAGE(AV$2:AV$11),NA())</f>
        <v>5.4642131567176025E-2</v>
      </c>
      <c r="BY6" s="12">
        <f>IFERROR(AVERAGE(AW$2:AW$11),NA())</f>
        <v>7.648000000000002E-2</v>
      </c>
      <c r="BZ6" s="13"/>
      <c r="CA6" s="11" t="s">
        <v>240</v>
      </c>
      <c r="CB6" s="12">
        <f>IFERROR(AVERAGE(CH$2:CH$11),NA())</f>
        <v>0.53941119856263364</v>
      </c>
      <c r="CC6" s="12">
        <f>IFERROR(AVERAGE(CP$2:CP$11),NA())</f>
        <v>0.40527250809102172</v>
      </c>
      <c r="CE6">
        <f>IF(AY6="","",AY6)</f>
        <v>6.9240730992258517E-3</v>
      </c>
      <c r="CF6">
        <f>IF(BB6="","",(1+CE6)*(1+BB6)-1)</f>
        <v>0.34543785966813867</v>
      </c>
      <c r="CG6">
        <f>IF(BE6="","",(1+CF6)*(1+BE6)-1)</f>
        <v>0.39642273842585674</v>
      </c>
      <c r="CH6">
        <f>IF(BH6="","",(1+CG6)*(1+BH6)-1)</f>
        <v>0.87395291616064297</v>
      </c>
      <c r="CI6">
        <f>IF(BK6="","",(1+CH6)*(1+BK6)-1)</f>
        <v>0.98950896305352121</v>
      </c>
      <c r="CJ6">
        <f>IF(BN6="","",(1+CI6)*(1+BN6)-1)</f>
        <v>0.88996292183053516</v>
      </c>
      <c r="CK6">
        <f>IF(BQ6="","",(1+CJ6)*(1+BQ6)-1)</f>
        <v>1.0929460967516897</v>
      </c>
      <c r="CL6">
        <f>IF(BT6="","",(1+CK6)*(1+BT6)-1)</f>
        <v>1.1589107739297018</v>
      </c>
      <c r="CM6">
        <f>IF(AZ6="","",AZ6)</f>
        <v>-3.0000000000000001E-3</v>
      </c>
      <c r="CN6">
        <f>IF(BC6="","",(1+CM6)*(1+BC6)-1)</f>
        <v>0.19101619999999997</v>
      </c>
      <c r="CO6">
        <f>IF(BF6="","",(1+CN6)*(1+BF6)-1)</f>
        <v>0.27343452103999999</v>
      </c>
      <c r="CP6">
        <f>IF(BI6="","",(1+CO6)*(1+BI6)-1)</f>
        <v>0.61675246791238414</v>
      </c>
      <c r="CQ6">
        <f>IF(BL6="","",(1+CP6)*(1+BL6)-1)</f>
        <v>0.86007371433319801</v>
      </c>
      <c r="CR6">
        <f>IF(BO6="","",(1+CQ6)*(1+BO6)-1)</f>
        <v>0.8797904957051299</v>
      </c>
      <c r="CS6">
        <f>IF(BR6="","",(1+CR6)*(1+BR6)-1)</f>
        <v>0.9735920414408159</v>
      </c>
      <c r="CT6">
        <f>IF(BU6="","",(1+CS6)*(1+BU6)-1)</f>
        <v>1.0174057847608018</v>
      </c>
    </row>
    <row r="7" spans="1:98" x14ac:dyDescent="0.2">
      <c r="A7" s="2">
        <v>45244</v>
      </c>
      <c r="B7" s="3">
        <v>8.1199999999999994E-2</v>
      </c>
      <c r="C7" s="4">
        <v>0.24879999999999999</v>
      </c>
      <c r="D7" t="s">
        <v>140</v>
      </c>
      <c r="E7" s="4">
        <v>0.11503127978022901</v>
      </c>
      <c r="F7" t="s">
        <v>95</v>
      </c>
      <c r="G7" s="4">
        <v>9.0735289196196417E-2</v>
      </c>
      <c r="H7" t="s">
        <v>145</v>
      </c>
      <c r="I7" s="4">
        <v>2.5457011088830851E-2</v>
      </c>
      <c r="J7" t="s">
        <v>87</v>
      </c>
      <c r="K7" s="4">
        <v>1.5687019013901161E-2</v>
      </c>
      <c r="L7" t="s">
        <v>222</v>
      </c>
      <c r="M7" s="4">
        <v>1.902173769596826E-3</v>
      </c>
      <c r="AL7" s="5">
        <v>9.0540000000000009E-2</v>
      </c>
      <c r="AM7" s="5">
        <v>9.26067982648619E-2</v>
      </c>
      <c r="AN7" s="5">
        <v>0.17</v>
      </c>
      <c r="AO7" s="6">
        <v>-0.10298</v>
      </c>
      <c r="AP7" s="6">
        <v>-3.7553689756291232E-2</v>
      </c>
      <c r="AQ7" s="6">
        <v>-3.0000000000000001E-3</v>
      </c>
      <c r="AR7" s="5">
        <v>0.27217999999999998</v>
      </c>
      <c r="AS7" s="5">
        <v>0.27346587762771257</v>
      </c>
      <c r="AT7" s="5">
        <v>0.1946</v>
      </c>
      <c r="AU7" s="5">
        <v>1.3180000000000009E-2</v>
      </c>
      <c r="AV7" s="5">
        <v>5.9888730377570122E-2</v>
      </c>
      <c r="AW7" s="5">
        <v>6.9199999999999998E-2</v>
      </c>
      <c r="AX7" s="5">
        <v>0.33595999999999998</v>
      </c>
      <c r="AY7" s="5">
        <v>0.30674166643655187</v>
      </c>
      <c r="AZ7" s="5">
        <v>0.26960000000000001</v>
      </c>
      <c r="BA7" s="5">
        <v>0.12826000000000001</v>
      </c>
      <c r="BB7" s="5">
        <v>0.1187746631965709</v>
      </c>
      <c r="BC7" s="5">
        <v>0.15049999999999999</v>
      </c>
      <c r="BD7" s="6">
        <v>-2.6460000000000011E-2</v>
      </c>
      <c r="BE7" s="6">
        <v>-6.1118141868688393E-2</v>
      </c>
      <c r="BF7" s="5">
        <v>1.06E-2</v>
      </c>
      <c r="BG7" s="5">
        <v>0.13775999999999999</v>
      </c>
      <c r="BH7" s="6">
        <v>-2.61942432603148E-2</v>
      </c>
      <c r="BI7" s="5">
        <v>4.99E-2</v>
      </c>
      <c r="BJ7" s="5">
        <v>6.7060000000000008E-2</v>
      </c>
      <c r="BK7" s="5">
        <v>7.4488493187608626E-2</v>
      </c>
      <c r="BL7" s="5">
        <v>2.2200000000000001E-2</v>
      </c>
      <c r="BM7" s="6">
        <v>-8.158E-2</v>
      </c>
      <c r="BN7" s="6">
        <v>-7.3137348311909114E-2</v>
      </c>
      <c r="BO7" s="6">
        <v>-2.1600000000000001E-2</v>
      </c>
      <c r="BP7" s="5">
        <v>0.24772</v>
      </c>
      <c r="BQ7" s="5">
        <v>0.3166907711414107</v>
      </c>
      <c r="BR7" s="5">
        <v>0.22170000000000001</v>
      </c>
      <c r="BS7" s="5">
        <v>0.68293999999999999</v>
      </c>
      <c r="BT7" s="5">
        <v>0.51428987575273477</v>
      </c>
      <c r="BU7" s="5">
        <v>0.1426</v>
      </c>
      <c r="BW7" s="11" t="s">
        <v>237</v>
      </c>
      <c r="BX7" s="12">
        <f>IFERROR(AVERAGE(AY$2:AY$11),NA())</f>
        <v>0.16861356461014929</v>
      </c>
      <c r="BY7" s="12">
        <f>IFERROR(AVERAGE(AZ$2:AZ$11),NA())</f>
        <v>9.0333333333333321E-2</v>
      </c>
      <c r="BZ7" s="13"/>
      <c r="CA7" s="11" t="s">
        <v>241</v>
      </c>
      <c r="CB7" s="12">
        <f>IFERROR(AVERAGE(CI$2:CI$11),NA())</f>
        <v>0.64447865694356654</v>
      </c>
      <c r="CC7" s="12">
        <f>IFERROR(AVERAGE(CQ$2:CQ$11),NA())</f>
        <v>0.47879227219369141</v>
      </c>
      <c r="CE7">
        <f>IF(AY7="","",AY7)</f>
        <v>0.30674166643655187</v>
      </c>
      <c r="CF7">
        <f>IF(BB7="","",(1+CE7)*(1+BB7)-1)</f>
        <v>0.46194946775247914</v>
      </c>
      <c r="CG7">
        <f>IF(BE7="","",(1+CF7)*(1+BE7)-1)</f>
        <v>0.37259783277752967</v>
      </c>
      <c r="CH7">
        <f>IF(BH7="","",(1+CG7)*(1+BH7)-1)</f>
        <v>0.33664367124717409</v>
      </c>
      <c r="CI7">
        <f>IF(BK7="","",(1+CH7)*(1+BK7)-1)</f>
        <v>0.43620824424712934</v>
      </c>
      <c r="CJ7">
        <f>IF(BN7="","",(1+CI7)*(1+BN7)-1)</f>
        <v>0.33116778163919158</v>
      </c>
      <c r="CK7">
        <f>IF(BQ7="","",(1+CJ7)*(1+BQ7)-1)</f>
        <v>0.752736332925108</v>
      </c>
      <c r="CL7">
        <f>IF(BT7="","",(1+CK7)*(1+BT7)-1)</f>
        <v>1.6541508838124659</v>
      </c>
      <c r="CM7">
        <f>IF(AZ7="","",AZ7)</f>
        <v>0.26960000000000001</v>
      </c>
      <c r="CN7">
        <f>IF(BC7="","",(1+CM7)*(1+BC7)-1)</f>
        <v>0.46067480000000027</v>
      </c>
      <c r="CO7">
        <f>IF(BF7="","",(1+CN7)*(1+BF7)-1)</f>
        <v>0.47615795288000018</v>
      </c>
      <c r="CP7">
        <f>IF(BI7="","",(1+CO7)*(1+BI7)-1)</f>
        <v>0.54981823472871216</v>
      </c>
      <c r="CQ7">
        <f>IF(BL7="","",(1+CP7)*(1+BL7)-1)</f>
        <v>0.58422419953968951</v>
      </c>
      <c r="CR7">
        <f>IF(BO7="","",(1+CQ7)*(1+BO7)-1)</f>
        <v>0.55000495682963235</v>
      </c>
      <c r="CS7">
        <f>IF(BR7="","",(1+CR7)*(1+BR7)-1)</f>
        <v>0.89364105575876196</v>
      </c>
      <c r="CT7">
        <f>IF(BU7="","",(1+CS7)*(1+BU7)-1)</f>
        <v>1.1636742703099614</v>
      </c>
    </row>
    <row r="8" spans="1:98" x14ac:dyDescent="0.2">
      <c r="A8" s="2">
        <v>45427</v>
      </c>
      <c r="B8" s="3">
        <v>0.1217</v>
      </c>
      <c r="C8" s="4">
        <v>0.30020000000000002</v>
      </c>
      <c r="D8" t="s">
        <v>146</v>
      </c>
      <c r="E8" s="4">
        <v>6.766519636065009E-2</v>
      </c>
      <c r="F8" t="s">
        <v>101</v>
      </c>
      <c r="G8" s="4">
        <v>4.4893882228103393E-2</v>
      </c>
      <c r="H8" t="s">
        <v>140</v>
      </c>
      <c r="I8" s="4">
        <v>4.1671830708773942E-2</v>
      </c>
      <c r="J8" t="s">
        <v>87</v>
      </c>
      <c r="K8" s="4">
        <v>4.1179589733099729E-2</v>
      </c>
      <c r="L8" t="s">
        <v>145</v>
      </c>
      <c r="M8" s="4">
        <v>3.5815829601832043E-2</v>
      </c>
      <c r="N8" t="s">
        <v>95</v>
      </c>
      <c r="O8" s="4">
        <v>3.1903283198031762E-2</v>
      </c>
      <c r="P8" t="s">
        <v>103</v>
      </c>
      <c r="Q8" s="4">
        <v>2.3981320443375771E-2</v>
      </c>
      <c r="R8" t="s">
        <v>223</v>
      </c>
      <c r="S8" s="4">
        <v>1.3062270079194849E-2</v>
      </c>
      <c r="AL8" s="5">
        <v>0.22342857142857139</v>
      </c>
      <c r="AM8" s="5">
        <v>0.24212040277043431</v>
      </c>
      <c r="AN8" s="5">
        <v>0.1946</v>
      </c>
      <c r="AO8" s="5">
        <v>3.3257142857142853E-2</v>
      </c>
      <c r="AP8" s="5">
        <v>3.948396971240143E-2</v>
      </c>
      <c r="AQ8" s="5">
        <v>6.9199999999999998E-2</v>
      </c>
      <c r="AR8" s="5">
        <v>0.2145142857142858</v>
      </c>
      <c r="AS8" s="5">
        <v>0.2249643470606883</v>
      </c>
      <c r="AT8" s="5">
        <v>0.26960000000000001</v>
      </c>
      <c r="AU8" s="5">
        <v>6.2114285714285719E-2</v>
      </c>
      <c r="AV8" s="5">
        <v>8.3891640641282517E-2</v>
      </c>
      <c r="AW8" s="5">
        <v>0.15049999999999999</v>
      </c>
      <c r="AX8" s="6">
        <v>-0.15643750000000001</v>
      </c>
      <c r="AY8" s="6">
        <v>-0.16596217426396931</v>
      </c>
      <c r="AZ8" s="5">
        <v>1.06E-2</v>
      </c>
      <c r="BA8" s="5">
        <v>0.37044999999999989</v>
      </c>
      <c r="BB8" s="5">
        <v>0.36518177377441158</v>
      </c>
      <c r="BC8" s="5">
        <v>4.99E-2</v>
      </c>
      <c r="BD8" s="5">
        <v>6.7612500000000006E-2</v>
      </c>
      <c r="BE8" s="5">
        <v>8.1542072412652142E-2</v>
      </c>
      <c r="BF8" s="5">
        <v>2.2200000000000001E-2</v>
      </c>
      <c r="BG8" s="6">
        <v>-0.1243875</v>
      </c>
      <c r="BH8" s="6">
        <v>-0.14291566264241801</v>
      </c>
      <c r="BI8" s="6">
        <v>-2.1600000000000001E-2</v>
      </c>
      <c r="BJ8" s="5">
        <v>0.36303750000000001</v>
      </c>
      <c r="BK8" s="5">
        <v>0.37891875658714602</v>
      </c>
      <c r="BL8" s="5">
        <v>0.22170000000000001</v>
      </c>
      <c r="BM8" s="5">
        <v>0.56208750000000007</v>
      </c>
      <c r="BN8" s="5">
        <v>0.45131511829297871</v>
      </c>
      <c r="BO8" s="5">
        <v>0.1426</v>
      </c>
      <c r="BP8" s="5">
        <v>0.280275</v>
      </c>
      <c r="BQ8" s="5">
        <v>0.14316419926918669</v>
      </c>
      <c r="BR8" s="5">
        <v>0.18490000000000001</v>
      </c>
      <c r="BS8" s="5">
        <v>0.60763749999999994</v>
      </c>
      <c r="BT8" s="5">
        <v>0.72289273598633785</v>
      </c>
      <c r="BU8" s="5">
        <v>0.34020000000000011</v>
      </c>
      <c r="BW8" s="11" t="s">
        <v>238</v>
      </c>
      <c r="BX8" s="12">
        <f>IFERROR(AVERAGE(BB$2:BB$11),NA())</f>
        <v>0.16566481083080442</v>
      </c>
      <c r="BY8" s="12">
        <f>IFERROR(AVERAGE(BC$2:BC$11),NA())</f>
        <v>0.11828888888888889</v>
      </c>
      <c r="BZ8" s="13"/>
      <c r="CA8" s="11" t="s">
        <v>242</v>
      </c>
      <c r="CB8" s="12">
        <f>IFERROR(AVERAGE(CJ$2:CJ$11),NA())</f>
        <v>0.74821011029907747</v>
      </c>
      <c r="CC8" s="12">
        <f>IFERROR(AVERAGE(CR$2:CR$11),NA())</f>
        <v>0.55369786862910075</v>
      </c>
      <c r="CE8">
        <f>IF(AY8="","",AY8)</f>
        <v>-0.16596217426396931</v>
      </c>
      <c r="CF8">
        <f>IF(BB8="","",(1+CE8)*(1+BB8)-1)</f>
        <v>0.13861323833326811</v>
      </c>
      <c r="CG8">
        <f>IF(BE8="","",(1+CF8)*(1+BE8)-1)</f>
        <v>0.23145812146344369</v>
      </c>
      <c r="CH8">
        <f>IF(BH8="","",(1+CG8)*(1+BH8)-1)</f>
        <v>5.546346801810853E-2</v>
      </c>
      <c r="CI8">
        <f>IF(BK8="","",(1+CH8)*(1+BK8)-1)</f>
        <v>0.45539837294268715</v>
      </c>
      <c r="CJ8">
        <f>IF(BN8="","",(1+CI8)*(1+BN8)-1)</f>
        <v>1.1122416617907245</v>
      </c>
      <c r="CK8">
        <f>IF(BQ8="","",(1+CJ8)*(1+BQ8)-1)</f>
        <v>1.4146390479640099</v>
      </c>
      <c r="CL8">
        <f>IF(BT8="","",(1+CK8)*(1+BT8)-1)</f>
        <v>3.1601640757661595</v>
      </c>
      <c r="CM8">
        <f>IF(AZ8="","",AZ8)</f>
        <v>1.06E-2</v>
      </c>
      <c r="CN8">
        <f>IF(BC8="","",(1+CM8)*(1+BC8)-1)</f>
        <v>6.102893999999992E-2</v>
      </c>
      <c r="CO8">
        <f>IF(BF8="","",(1+CN8)*(1+BF8)-1)</f>
        <v>8.4583782468000024E-2</v>
      </c>
      <c r="CP8">
        <f>IF(BI8="","",(1+CO8)*(1+BI8)-1)</f>
        <v>6.1156772766691292E-2</v>
      </c>
      <c r="CQ8">
        <f>IF(BL8="","",(1+CP8)*(1+BL8)-1)</f>
        <v>0.29641522928906672</v>
      </c>
      <c r="CR8">
        <f>IF(BO8="","",(1+CQ8)*(1+BO8)-1)</f>
        <v>0.48128404098568778</v>
      </c>
      <c r="CS8">
        <f>IF(BR8="","",(1+CR8)*(1+BR8)-1)</f>
        <v>0.75517346016394149</v>
      </c>
      <c r="CT8">
        <f>IF(BU8="","",(1+CS8)*(1+BU8)-1)</f>
        <v>1.3522834713117144</v>
      </c>
    </row>
    <row r="9" spans="1:98" x14ac:dyDescent="0.2">
      <c r="A9" s="2">
        <v>45518</v>
      </c>
      <c r="B9" s="3">
        <v>5.3800000000000001E-2</v>
      </c>
      <c r="C9" s="4">
        <v>0.35389999999999999</v>
      </c>
      <c r="D9" t="s">
        <v>146</v>
      </c>
      <c r="E9" s="4">
        <v>5.7793371108412067E-2</v>
      </c>
      <c r="F9" t="s">
        <v>145</v>
      </c>
      <c r="G9" s="4">
        <v>5.6521593558046833E-2</v>
      </c>
      <c r="H9" t="s">
        <v>140</v>
      </c>
      <c r="I9" s="4">
        <v>5.5103740450354453E-2</v>
      </c>
      <c r="J9" t="s">
        <v>101</v>
      </c>
      <c r="K9" s="4">
        <v>5.486190847349566E-2</v>
      </c>
      <c r="L9" t="s">
        <v>97</v>
      </c>
      <c r="M9" s="4">
        <v>4.1337365516752621E-2</v>
      </c>
      <c r="N9" t="s">
        <v>95</v>
      </c>
      <c r="O9" s="4">
        <v>3.2441770782569393E-2</v>
      </c>
      <c r="P9" t="s">
        <v>87</v>
      </c>
      <c r="Q9" s="4">
        <v>3.1222833796893359E-2</v>
      </c>
      <c r="R9" t="s">
        <v>223</v>
      </c>
      <c r="S9" s="4">
        <v>2.1877330748271081E-2</v>
      </c>
      <c r="T9" t="s">
        <v>105</v>
      </c>
      <c r="U9" s="4">
        <v>2.7757471345150829E-3</v>
      </c>
      <c r="AL9" s="5">
        <v>4.9749999999999968E-3</v>
      </c>
      <c r="AM9" s="5">
        <v>1.9686033459321892E-2</v>
      </c>
      <c r="AN9" s="5">
        <v>6.9199999999999998E-2</v>
      </c>
      <c r="AO9" s="5">
        <v>0.17885000000000001</v>
      </c>
      <c r="AP9" s="5">
        <v>0.20221998830484739</v>
      </c>
      <c r="AQ9" s="5">
        <v>0.26960000000000001</v>
      </c>
      <c r="AR9" s="5">
        <v>0.1196625</v>
      </c>
      <c r="AS9" s="5">
        <v>8.1357153194905704E-2</v>
      </c>
      <c r="AT9" s="5">
        <v>0.15049999999999999</v>
      </c>
      <c r="AU9" s="6">
        <v>-0.10645555555555559</v>
      </c>
      <c r="AV9" s="6">
        <v>-0.12702958029697309</v>
      </c>
      <c r="AW9" s="5">
        <v>1.06E-2</v>
      </c>
      <c r="AX9" s="5">
        <v>0.31047777777777769</v>
      </c>
      <c r="AY9" s="5">
        <v>0.38770705423063512</v>
      </c>
      <c r="AZ9" s="5">
        <v>4.99E-2</v>
      </c>
      <c r="BA9" s="5">
        <v>5.0255555555555553E-2</v>
      </c>
      <c r="BB9" s="5">
        <v>7.4383984066113115E-2</v>
      </c>
      <c r="BC9" s="5">
        <v>2.2200000000000001E-2</v>
      </c>
      <c r="BD9" s="6">
        <v>-0.1051</v>
      </c>
      <c r="BE9" s="6">
        <v>-0.1129498458561573</v>
      </c>
      <c r="BF9" s="6">
        <v>-2.1600000000000001E-2</v>
      </c>
      <c r="BG9" s="5">
        <v>0.36517777777777771</v>
      </c>
      <c r="BH9" s="5">
        <v>0.40130267892194271</v>
      </c>
      <c r="BI9" s="5">
        <v>0.22170000000000001</v>
      </c>
      <c r="BJ9" s="5">
        <v>0.46047777777777782</v>
      </c>
      <c r="BK9" s="5">
        <v>0.41229569800692911</v>
      </c>
      <c r="BL9" s="5">
        <v>0.1426</v>
      </c>
      <c r="BM9" s="5">
        <v>0.29854444444444439</v>
      </c>
      <c r="BN9" s="5">
        <v>0.16835658124094291</v>
      </c>
      <c r="BO9" s="5">
        <v>0.18490000000000001</v>
      </c>
      <c r="BP9" s="5">
        <v>0.65045555555555568</v>
      </c>
      <c r="BQ9" s="5">
        <v>0.74565536017483813</v>
      </c>
      <c r="BR9" s="5">
        <v>0.34020000000000011</v>
      </c>
      <c r="BW9" s="11" t="s">
        <v>239</v>
      </c>
      <c r="BX9" s="12">
        <f>IFERROR(AVERAGE(BE$2:BE$11),NA())</f>
        <v>7.5963355712706541E-4</v>
      </c>
      <c r="BY9" s="12">
        <f>IFERROR(AVERAGE(BF$2:BF$11),NA())</f>
        <v>2.2766666666666668E-2</v>
      </c>
      <c r="BZ9" s="13"/>
      <c r="CA9" s="11" t="s">
        <v>243</v>
      </c>
      <c r="CB9" s="12">
        <f>IFERROR(AVERAGE(CK$2:CK$11),NA())</f>
        <v>1.1076344874455539</v>
      </c>
      <c r="CC9" s="12">
        <f>IFERROR(AVERAGE(CS$2:CS$11),NA())</f>
        <v>0.72097503562859933</v>
      </c>
      <c r="CE9">
        <f>IF(AY9="","",AY9)</f>
        <v>0.38770705423063512</v>
      </c>
      <c r="CF9">
        <f>IF(BB9="","",(1+CE9)*(1+BB9)-1)</f>
        <v>0.49093023364095956</v>
      </c>
      <c r="CG9">
        <f>IF(BE9="","",(1+CF9)*(1+BE9)-1)</f>
        <v>0.32252989356892847</v>
      </c>
      <c r="CH9">
        <f>IF(BH9="","",(1+CG9)*(1+BH9)-1)</f>
        <v>0.85326468281249124</v>
      </c>
      <c r="CI9">
        <f>IF(BK9="","",(1+CH9)*(1+BK9)-1)</f>
        <v>1.617357738804257</v>
      </c>
      <c r="CJ9">
        <f>IF(BN9="","",(1+CI9)*(1+BN9)-1)</f>
        <v>2.0580071395938666</v>
      </c>
      <c r="CK9">
        <f>IF(BQ9="","",(1+CJ9)*(1+BQ9)-1)</f>
        <v>4.3382265546849581</v>
      </c>
      <c r="CL9" t="str">
        <f>IF(BT9="","",(1+CK9)*(1+BT9)-1)</f>
        <v/>
      </c>
      <c r="CM9">
        <f>IF(AZ9="","",AZ9)</f>
        <v>4.99E-2</v>
      </c>
      <c r="CN9">
        <f>IF(BC9="","",(1+CM9)*(1+BC9)-1)</f>
        <v>7.3207779999999945E-2</v>
      </c>
      <c r="CO9">
        <f>IF(BF9="","",(1+CN9)*(1+BF9)-1)</f>
        <v>5.002649195199993E-2</v>
      </c>
      <c r="CP9">
        <f>IF(BI9="","",(1+CO9)*(1+BI9)-1)</f>
        <v>0.28281736521775835</v>
      </c>
      <c r="CQ9">
        <f>IF(BL9="","",(1+CP9)*(1+BL9)-1)</f>
        <v>0.46574712149781083</v>
      </c>
      <c r="CR9">
        <f>IF(BO9="","",(1+CQ9)*(1+BO9)-1)</f>
        <v>0.73676376426275625</v>
      </c>
      <c r="CS9">
        <f>IF(BR9="","",(1+CR9)*(1+BR9)-1)</f>
        <v>1.327610796864946</v>
      </c>
      <c r="CT9" t="str">
        <f>IF(BU9="","",(1+CS9)*(1+BU9)-1)</f>
        <v/>
      </c>
    </row>
    <row r="10" spans="1:98" x14ac:dyDescent="0.2">
      <c r="A10" s="2">
        <v>45792</v>
      </c>
      <c r="B10" s="3">
        <v>0.1358</v>
      </c>
      <c r="C10" s="4">
        <v>0.37840000000000001</v>
      </c>
      <c r="D10" t="s">
        <v>101</v>
      </c>
      <c r="E10" s="4">
        <v>8.4272662370772855E-2</v>
      </c>
      <c r="F10" t="s">
        <v>140</v>
      </c>
      <c r="G10" s="4">
        <v>6.5589983075972663E-2</v>
      </c>
      <c r="H10" t="s">
        <v>107</v>
      </c>
      <c r="I10" s="4">
        <v>5.6086253755125347E-2</v>
      </c>
      <c r="J10" t="s">
        <v>83</v>
      </c>
      <c r="K10" s="4">
        <v>3.5718771124965049E-2</v>
      </c>
      <c r="L10" t="s">
        <v>223</v>
      </c>
      <c r="M10" s="4">
        <v>3.5489012644823688E-2</v>
      </c>
      <c r="N10" t="s">
        <v>147</v>
      </c>
      <c r="O10" s="4">
        <v>2.7009022160959829E-2</v>
      </c>
      <c r="P10" t="s">
        <v>87</v>
      </c>
      <c r="Q10" s="4">
        <v>2.3471941842505919E-2</v>
      </c>
      <c r="R10" t="s">
        <v>109</v>
      </c>
      <c r="S10" s="4">
        <v>2.1106067490741929E-2</v>
      </c>
      <c r="T10" t="s">
        <v>224</v>
      </c>
      <c r="U10" s="4">
        <v>1.9852143650426549E-2</v>
      </c>
      <c r="V10" t="s">
        <v>103</v>
      </c>
      <c r="W10" s="4">
        <v>9.8457605441808847E-3</v>
      </c>
      <c r="AL10" s="6">
        <v>-0.17152222222222219</v>
      </c>
      <c r="AM10" s="6">
        <v>-0.20640900413295779</v>
      </c>
      <c r="AN10" s="5">
        <v>1.06E-2</v>
      </c>
      <c r="AO10" s="5">
        <v>0.31137777777777781</v>
      </c>
      <c r="AP10" s="5">
        <v>0.44705369143870821</v>
      </c>
      <c r="AQ10" s="5">
        <v>4.99E-2</v>
      </c>
      <c r="AR10" s="5">
        <v>2.3333333333333331E-2</v>
      </c>
      <c r="AS10" s="5">
        <v>4.0608587825080476E-3</v>
      </c>
      <c r="AT10" s="5">
        <v>2.2200000000000001E-2</v>
      </c>
      <c r="AU10" s="6">
        <v>-4.4144444444444438E-2</v>
      </c>
      <c r="AV10" s="6">
        <v>-4.9479102908088187E-3</v>
      </c>
      <c r="AW10" s="6">
        <v>-2.1600000000000001E-2</v>
      </c>
      <c r="AX10" s="5">
        <v>0.44395000000000001</v>
      </c>
      <c r="AY10" s="5">
        <v>0.59996415628661448</v>
      </c>
      <c r="AZ10" s="5">
        <v>0.22170000000000001</v>
      </c>
      <c r="BA10" s="5">
        <v>0.25722</v>
      </c>
      <c r="BB10" s="5">
        <v>0.17295667876996429</v>
      </c>
      <c r="BC10" s="5">
        <v>0.1426</v>
      </c>
      <c r="BD10" s="5">
        <v>0.13117999999999999</v>
      </c>
      <c r="BE10" s="5">
        <v>4.0071158583888919E-2</v>
      </c>
      <c r="BF10" s="5">
        <v>0.18490000000000001</v>
      </c>
      <c r="BG10" s="5">
        <v>0.38373000000000002</v>
      </c>
      <c r="BH10" s="5">
        <v>0.53715833440980776</v>
      </c>
      <c r="BI10" s="5">
        <v>0.34020000000000011</v>
      </c>
      <c r="BW10" s="11" t="s">
        <v>240</v>
      </c>
      <c r="BX10" s="12">
        <f>IFERROR(AVERAGE(BH$2:BH$11),NA())</f>
        <v>0.10576421393453324</v>
      </c>
      <c r="BY10" s="12">
        <f>IFERROR(AVERAGE(BI$2:BI$11),NA())</f>
        <v>0.11236666666666667</v>
      </c>
      <c r="BZ10" s="13"/>
      <c r="CA10" s="11" t="s">
        <v>244</v>
      </c>
      <c r="CB10" s="12">
        <f>IFERROR(AVERAGE(CL$2:CL$11),NA())</f>
        <v>1.0564697106865271</v>
      </c>
      <c r="CC10" s="12">
        <f>IFERROR(AVERAGE(CT$2:CT$11),NA())</f>
        <v>0.84224807061270945</v>
      </c>
      <c r="CE10">
        <f>IF(AY10="","",AY10)</f>
        <v>0.59996415628661448</v>
      </c>
      <c r="CF10">
        <f>IF(BB10="","",(1+CE10)*(1+BB10)-1)</f>
        <v>0.87668864290893556</v>
      </c>
      <c r="CG10">
        <f>IF(BE10="","",(1+CF10)*(1+BE10)-1)</f>
        <v>0.95188973113152264</v>
      </c>
      <c r="CH10">
        <f>IF(BH10="","",(1+CG10)*(1+BH10)-1)</f>
        <v>2.0003635680577387</v>
      </c>
      <c r="CI10" t="str">
        <f>IF(BK10="","",(1+CH10)*(1+BK10)-1)</f>
        <v/>
      </c>
      <c r="CJ10" t="str">
        <f>IF(BN10="","",(1+CI10)*(1+BN10)-1)</f>
        <v/>
      </c>
      <c r="CK10" t="str">
        <f>IF(BQ10="","",(1+CJ10)*(1+BQ10)-1)</f>
        <v/>
      </c>
      <c r="CL10" t="str">
        <f>IF(BT10="","",(1+CK10)*(1+BT10)-1)</f>
        <v/>
      </c>
      <c r="CM10">
        <f>IF(AZ10="","",AZ10)</f>
        <v>0.22170000000000001</v>
      </c>
      <c r="CN10">
        <f>IF(BC10="","",(1+CM10)*(1+BC10)-1)</f>
        <v>0.39591441999999999</v>
      </c>
      <c r="CO10">
        <f>IF(BF10="","",(1+CN10)*(1+BF10)-1)</f>
        <v>0.65401899625800008</v>
      </c>
      <c r="CP10">
        <f>IF(BI10="","",(1+CO10)*(1+BI10)-1)</f>
        <v>1.216716258784972</v>
      </c>
      <c r="CQ10" t="str">
        <f>IF(BL10="","",(1+CP10)*(1+BL10)-1)</f>
        <v/>
      </c>
      <c r="CR10" t="str">
        <f>IF(BO10="","",(1+CQ10)*(1+BO10)-1)</f>
        <v/>
      </c>
      <c r="CS10" t="str">
        <f>IF(BR10="","",(1+CR10)*(1+BR10)-1)</f>
        <v/>
      </c>
      <c r="CT10" t="str">
        <f>IF(BU10="","",(1+CS10)*(1+BU10)-1)</f>
        <v/>
      </c>
    </row>
    <row r="11" spans="1:98" x14ac:dyDescent="0.2">
      <c r="A11" s="2">
        <v>46160</v>
      </c>
      <c r="B11" s="3">
        <v>0.13719999999999999</v>
      </c>
      <c r="C11" s="4">
        <v>0.4264</v>
      </c>
      <c r="D11" t="s">
        <v>101</v>
      </c>
      <c r="E11" s="4">
        <v>7.3745628822782822E-2</v>
      </c>
      <c r="F11" t="s">
        <v>107</v>
      </c>
      <c r="G11" s="4">
        <v>5.4322909997806958E-2</v>
      </c>
      <c r="H11" t="s">
        <v>145</v>
      </c>
      <c r="I11" s="4">
        <v>5.2528262412464277E-2</v>
      </c>
      <c r="J11" t="s">
        <v>87</v>
      </c>
      <c r="K11" s="4">
        <v>5.1357884567679292E-2</v>
      </c>
      <c r="L11" t="s">
        <v>83</v>
      </c>
      <c r="M11" s="4">
        <v>4.3531750318210702E-2</v>
      </c>
      <c r="N11" t="s">
        <v>223</v>
      </c>
      <c r="O11" s="4">
        <v>3.7565543154030982E-2</v>
      </c>
      <c r="P11" t="s">
        <v>222</v>
      </c>
      <c r="Q11" s="4">
        <v>3.0056462712236321E-2</v>
      </c>
      <c r="R11" t="s">
        <v>111</v>
      </c>
      <c r="S11" s="4">
        <v>1.5741289361021971E-2</v>
      </c>
      <c r="T11" t="s">
        <v>162</v>
      </c>
      <c r="U11" s="4">
        <v>1.5677873041930562E-2</v>
      </c>
      <c r="V11" t="s">
        <v>109</v>
      </c>
      <c r="W11" s="4">
        <v>1.2552910328037769E-2</v>
      </c>
      <c r="X11" t="s">
        <v>224</v>
      </c>
      <c r="Y11" s="4">
        <v>1.0852833364834551E-2</v>
      </c>
      <c r="Z11" t="s">
        <v>225</v>
      </c>
      <c r="AA11" s="4">
        <v>8.3283234625836627E-3</v>
      </c>
      <c r="AB11" t="s">
        <v>93</v>
      </c>
      <c r="AC11" s="4">
        <v>5.7678323794157884E-3</v>
      </c>
      <c r="AD11" t="s">
        <v>226</v>
      </c>
      <c r="AE11" s="4">
        <v>4.3796478930593942E-3</v>
      </c>
      <c r="AF11" t="s">
        <v>147</v>
      </c>
      <c r="AG11" s="4">
        <v>4.3663705304359387E-3</v>
      </c>
      <c r="AH11" t="s">
        <v>227</v>
      </c>
      <c r="AI11" s="4">
        <v>3.9927451943665912E-3</v>
      </c>
      <c r="AJ11" t="s">
        <v>228</v>
      </c>
      <c r="AK11" s="4">
        <v>1.5834304467042229E-3</v>
      </c>
      <c r="AL11" s="5">
        <v>0.313975</v>
      </c>
      <c r="AM11" s="5">
        <v>0.47797290165430212</v>
      </c>
      <c r="AN11" s="5">
        <v>0.22170000000000001</v>
      </c>
      <c r="AO11" s="5">
        <v>0.22365294117647061</v>
      </c>
      <c r="AP11" s="5">
        <v>0.33459654555666418</v>
      </c>
      <c r="AQ11" s="5">
        <v>0.1426</v>
      </c>
      <c r="AR11" s="5">
        <v>0.2478411764705882</v>
      </c>
      <c r="AS11" s="5">
        <v>0.26440853525745472</v>
      </c>
      <c r="AT11" s="5">
        <v>0.18490000000000001</v>
      </c>
      <c r="AU11" s="5">
        <v>0.50437647058823531</v>
      </c>
      <c r="AV11" s="5">
        <v>0.53300709578778327</v>
      </c>
      <c r="AW11" s="5">
        <v>0.34020000000000011</v>
      </c>
      <c r="BW11" s="11" t="s">
        <v>241</v>
      </c>
      <c r="BX11" s="12">
        <f>IFERROR(AVERAGE(BK$2:BK$11),NA())</f>
        <v>0.1970496102176294</v>
      </c>
      <c r="BY11" s="12">
        <f>IFERROR(AVERAGE(BL$2:BL$11),NA())</f>
        <v>0.12911249999999999</v>
      </c>
      <c r="BZ11" s="13"/>
      <c r="CA11" s="13"/>
      <c r="CB11" s="13"/>
      <c r="CC11" s="13"/>
      <c r="CE11" t="str">
        <f>IF(AY11="","",AY11)</f>
        <v/>
      </c>
      <c r="CF11" t="str">
        <f>IF(BB11="","",(1+CE11)*(1+BB11)-1)</f>
        <v/>
      </c>
      <c r="CG11" t="str">
        <f>IF(BE11="","",(1+CF11)*(1+BE11)-1)</f>
        <v/>
      </c>
      <c r="CH11" t="str">
        <f>IF(BH11="","",(1+CG11)*(1+BH11)-1)</f>
        <v/>
      </c>
      <c r="CI11" t="str">
        <f>IF(BK11="","",(1+CH11)*(1+BK11)-1)</f>
        <v/>
      </c>
      <c r="CJ11" t="str">
        <f>IF(BN11="","",(1+CI11)*(1+BN11)-1)</f>
        <v/>
      </c>
      <c r="CK11" t="str">
        <f>IF(BQ11="","",(1+CJ11)*(1+BQ11)-1)</f>
        <v/>
      </c>
      <c r="CL11" t="str">
        <f>IF(BT11="","",(1+CK11)*(1+BT11)-1)</f>
        <v/>
      </c>
      <c r="CM11" t="str">
        <f>IF(AZ11="","",AZ11)</f>
        <v/>
      </c>
      <c r="CN11" t="str">
        <f>IF(BC11="","",(1+CM11)*(1+BC11)-1)</f>
        <v/>
      </c>
      <c r="CO11" t="str">
        <f>IF(BF11="","",(1+CN11)*(1+BF11)-1)</f>
        <v/>
      </c>
      <c r="CP11" t="str">
        <f>IF(BI11="","",(1+CO11)*(1+BI11)-1)</f>
        <v/>
      </c>
      <c r="CQ11" t="str">
        <f>IF(BL11="","",(1+CP11)*(1+BL11)-1)</f>
        <v/>
      </c>
      <c r="CR11" t="str">
        <f>IF(BO11="","",(1+CQ11)*(1+BO11)-1)</f>
        <v/>
      </c>
      <c r="CS11" t="str">
        <f>IF(BR11="","",(1+CR11)*(1+BR11)-1)</f>
        <v/>
      </c>
      <c r="CT11" t="str">
        <f>IF(BU11="","",(1+CS11)*(1+BU11)-1)</f>
        <v/>
      </c>
    </row>
    <row r="12" spans="1:98" x14ac:dyDescent="0.2">
      <c r="BW12" s="11" t="s">
        <v>242</v>
      </c>
      <c r="BX12" s="12">
        <f>IFERROR(AVERAGE(BN$2:BN$11),NA())</f>
        <v>5.8278658929095478E-2</v>
      </c>
      <c r="BY12" s="12">
        <f>IFERROR(AVERAGE(BO$2:BO$11),NA())</f>
        <v>5.4387499999999998E-2</v>
      </c>
      <c r="BZ12" s="13"/>
      <c r="CA12" s="13"/>
      <c r="CB12" s="13"/>
      <c r="CC12" s="13"/>
    </row>
    <row r="13" spans="1:98" x14ac:dyDescent="0.2">
      <c r="BW13" s="11" t="s">
        <v>243</v>
      </c>
      <c r="BX13" s="12">
        <f>IFERROR(AVERAGE(BQ$2:BQ$11),NA())</f>
        <v>0.15872799174472635</v>
      </c>
      <c r="BY13" s="12">
        <f>IFERROR(AVERAGE(BR$2:BR$11),NA())</f>
        <v>0.11357500000000001</v>
      </c>
      <c r="BZ13" s="13"/>
      <c r="CA13" s="13"/>
      <c r="CB13" s="13"/>
      <c r="CC13" s="13"/>
    </row>
    <row r="14" spans="1:98" x14ac:dyDescent="0.2">
      <c r="E14" s="4">
        <f>SUM(E11:AK11)</f>
        <v>0.42635169798760186</v>
      </c>
      <c r="BW14" s="11" t="s">
        <v>244</v>
      </c>
      <c r="BX14" s="12">
        <f>IFERROR(AVERAGE(BT$2:BT$11),NA())</f>
        <v>0.20640554840976666</v>
      </c>
      <c r="BY14" s="12">
        <f>IFERROR(AVERAGE(BU$2:BU$11),NA())</f>
        <v>0.1285857142857143</v>
      </c>
      <c r="BZ14" s="13"/>
      <c r="CA14" s="13"/>
      <c r="CB14" s="13"/>
      <c r="CC14" s="13"/>
    </row>
    <row r="15" spans="1:98" x14ac:dyDescent="0.2">
      <c r="E15" s="7">
        <f>E11/$E$14</f>
        <v>0.17296900462896084</v>
      </c>
      <c r="G15" s="7">
        <f>G11/$E$14</f>
        <v>0.1274133778620172</v>
      </c>
      <c r="I15" s="7">
        <f>I11/$E$14</f>
        <v>0.12320406523628241</v>
      </c>
      <c r="K15" s="7">
        <f>K11/$E$14</f>
        <v>0.12045896570857038</v>
      </c>
      <c r="M15" s="7">
        <f>M11/$E$14</f>
        <v>0.10210291297931359</v>
      </c>
      <c r="O15" s="7">
        <f>O11/$E$14</f>
        <v>8.8109284732163479E-2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Ramp</vt:lpstr>
      <vt:lpstr>NewSubtheme</vt:lpstr>
      <vt:lpstr>NewPosition</vt:lpstr>
      <vt:lpstr>Cross4pct</vt:lpstr>
      <vt:lpstr>Cross2pct</vt:lpstr>
      <vt:lpstr>RampBasket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Steven Resman</cp:lastModifiedBy>
  <dcterms:created xsi:type="dcterms:W3CDTF">2026-07-17T12:21:27Z</dcterms:created>
  <dcterms:modified xsi:type="dcterms:W3CDTF">2026-07-17T16:03:49Z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bf8d3785-53b7-49ca-9f22-bb8356d76061</vt:lpwstr>
  </property>
</Properties>
</file>